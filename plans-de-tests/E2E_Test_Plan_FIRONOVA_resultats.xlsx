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apport QA" sheetId="1" state="visible" r:id="rId1"/>
    <sheet xmlns:r="http://schemas.openxmlformats.org/officeDocument/2006/relationships" name="Rules &amp; guidelines" sheetId="2" state="visible" r:id="rId2"/>
    <sheet xmlns:r="http://schemas.openxmlformats.org/officeDocument/2006/relationships" name="Corrections" sheetId="3" state="visible" r:id="rId3"/>
    <sheet xmlns:r="http://schemas.openxmlformats.org/officeDocument/2006/relationships" name="Test accounts" sheetId="4" state="visible" r:id="rId4"/>
    <sheet xmlns:r="http://schemas.openxmlformats.org/officeDocument/2006/relationships" name="1. Public site" sheetId="5" state="visible" r:id="rId5"/>
    <sheet xmlns:r="http://schemas.openxmlformats.org/officeDocument/2006/relationships" name="2. Catalog &amp; Products" sheetId="6" state="visible" r:id="rId6"/>
    <sheet xmlns:r="http://schemas.openxmlformats.org/officeDocument/2006/relationships" name="3. Cart &amp; Checkout" sheetId="7" state="visible" r:id="rId7"/>
    <sheet xmlns:r="http://schemas.openxmlformats.org/officeDocument/2006/relationships" name="4. Payments &amp; Confirmation" sheetId="8" state="visible" r:id="rId8"/>
    <sheet xmlns:r="http://schemas.openxmlformats.org/officeDocument/2006/relationships" name="5. Account &amp; Authentication" sheetId="9" state="visible" r:id="rId9"/>
    <sheet xmlns:r="http://schemas.openxmlformats.org/officeDocument/2006/relationships" name="6. Legal &amp; Info pages" sheetId="10" state="visible" r:id="rId10"/>
    <sheet xmlns:r="http://schemas.openxmlformats.org/officeDocument/2006/relationships" name="7. Affiliates (client)" sheetId="11" state="visible" r:id="rId11"/>
    <sheet xmlns:r="http://schemas.openxmlformats.org/officeDocument/2006/relationships" name="8. Admin — General &amp; Dashboard" sheetId="12" state="visible" r:id="rId12"/>
    <sheet xmlns:r="http://schemas.openxmlformats.org/officeDocument/2006/relationships" name="9. Orders &amp; Fulfillment" sheetId="13" state="visible" r:id="rId13"/>
    <sheet xmlns:r="http://schemas.openxmlformats.org/officeDocument/2006/relationships" name="10. Admin — Products &amp; Stock" sheetId="14" state="visible" r:id="rId14"/>
    <sheet xmlns:r="http://schemas.openxmlformats.org/officeDocument/2006/relationships" name="11. Admin — Coupons &amp; Customers" sheetId="15" state="visible" r:id="rId15"/>
    <sheet xmlns:r="http://schemas.openxmlformats.org/officeDocument/2006/relationships" name="12. Affiliates &amp; Payouts" sheetId="16" state="visible" r:id="rId16"/>
    <sheet xmlns:r="http://schemas.openxmlformats.org/officeDocument/2006/relationships" name="13. Admin — System" sheetId="17" state="visible" r:id="rId17"/>
    <sheet xmlns:r="http://schemas.openxmlformats.org/officeDocument/2006/relationships" name="14. Non-functional" sheetId="18" state="visible" r:id="rId18"/>
  </sheets>
  <definedNames>
    <definedName name="_xlnm._FilterDatabase" localSheetId="3" hidden="1">'Test accounts'!$A$1:$E$16</definedName>
    <definedName name="_xlnm._FilterDatabase" localSheetId="4" hidden="1">'1. Public site'!$A$1:$L$15</definedName>
    <definedName name="_xlnm._FilterDatabase" localSheetId="5" hidden="1">'2. Catalog &amp; Products'!$A$1:$L$10</definedName>
    <definedName name="_xlnm._FilterDatabase" localSheetId="6" hidden="1">'3. Cart &amp; Checkout'!$A$1:$L$20</definedName>
    <definedName name="_xlnm._FilterDatabase" localSheetId="7" hidden="1">'4. Payments &amp; Confirmation'!$A$1:$L$14</definedName>
    <definedName name="_xlnm._FilterDatabase" localSheetId="8" hidden="1">'5. Account &amp; Authentication'!$A$1:$L$16</definedName>
    <definedName name="_xlnm._FilterDatabase" localSheetId="9" hidden="1">'6. Legal &amp; Info pages'!$A$1:$L$9</definedName>
    <definedName name="_xlnm._FilterDatabase" localSheetId="10" hidden="1">'7. Affiliates (client)'!$A$1:$L$11</definedName>
    <definedName name="_xlnm._FilterDatabase" localSheetId="11" hidden="1">'8. Admin — General &amp; Dashboard'!$A$1:$L$14</definedName>
    <definedName name="_xlnm._FilterDatabase" localSheetId="12" hidden="1">'9. Orders &amp; Fulfillment'!$A$1:$L$18</definedName>
    <definedName name="_xlnm._FilterDatabase" localSheetId="13" hidden="1">'10. Admin — Products &amp; Stock'!$A$1:$L$17</definedName>
    <definedName name="_xlnm._FilterDatabase" localSheetId="14" hidden="1">'11. Admin — Coupons &amp; Customers'!$A$1:$L$7</definedName>
    <definedName name="_xlnm._FilterDatabase" localSheetId="15" hidden="1">'12. Affiliates &amp; Payouts'!$A$1:$L$14</definedName>
    <definedName name="_xlnm._FilterDatabase" localSheetId="16" hidden="1">'13. Admin — System'!$A$1:$L$11</definedName>
    <definedName name="_xlnm._FilterDatabase" localSheetId="17" hidden="1">'14. Non-functional'!$A$1:$L$11</definedName>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Space Grotesk"/>
      <charset val="1"/>
      <family val="0"/>
      <b val="1"/>
      <color rgb="FF0B2E4F"/>
      <sz val="14"/>
    </font>
    <font>
      <name val="Inter"/>
      <charset val="1"/>
      <family val="0"/>
      <sz val="10"/>
    </font>
    <font>
      <name val="Space Grotesk"/>
      <charset val="1"/>
      <family val="0"/>
      <b val="1"/>
      <color rgb="FFFFFFFF"/>
      <sz val="10"/>
    </font>
    <font>
      <name val="Inter"/>
      <charset val="1"/>
      <family val="0"/>
      <b val="1"/>
      <sz val="10"/>
    </font>
    <font>
      <name val="Space Grotesk"/>
      <charset val="1"/>
      <family val="0"/>
      <b val="1"/>
      <color rgb="FF0B2E4F"/>
      <sz val="12"/>
    </font>
    <font>
      <name val="Space Grotesk"/>
      <charset val="1"/>
      <family val="0"/>
      <b val="1"/>
      <color rgb="FFFFFFFF"/>
      <sz val="20"/>
    </font>
    <font>
      <name val="Inter"/>
      <charset val="1"/>
      <family val="0"/>
      <color rgb="FF3E5C76"/>
      <sz val="11"/>
    </font>
    <font>
      <name val="Inter"/>
      <charset val="1"/>
      <family val="0"/>
      <color rgb="FF0B2E4F"/>
      <sz val="11"/>
    </font>
    <font>
      <name val="Inter"/>
      <charset val="1"/>
      <family val="0"/>
      <b val="1"/>
      <color rgb="FFB3541E"/>
      <sz val="11"/>
    </font>
    <font>
      <name val="Inter"/>
      <charset val="1"/>
      <family val="0"/>
      <color rgb="FF0B2E4F"/>
      <sz val="10"/>
    </font>
    <font>
      <b val="1"/>
    </font>
  </fonts>
  <fills count="12">
    <fill>
      <patternFill/>
    </fill>
    <fill>
      <patternFill patternType="gray125"/>
    </fill>
    <fill>
      <patternFill patternType="solid">
        <fgColor rgb="FF0B2E4F"/>
        <bgColor rgb="FF333333"/>
      </patternFill>
    </fill>
    <fill>
      <patternFill patternType="solid">
        <fgColor rgb="FFFBD9D9"/>
        <bgColor rgb="FFFFE4CC"/>
      </patternFill>
    </fill>
    <fill>
      <patternFill patternType="solid">
        <fgColor rgb="FFFFE4CC"/>
        <bgColor rgb="FFFBD9D9"/>
      </patternFill>
    </fill>
    <fill>
      <patternFill patternType="solid">
        <fgColor rgb="FFFFF1CC"/>
        <bgColor rgb="FFFFE4CC"/>
      </patternFill>
    </fill>
    <fill>
      <patternFill patternType="solid">
        <fgColor rgb="FFEDEDED"/>
        <bgColor rgb="FFE3ECF7"/>
      </patternFill>
    </fill>
    <fill>
      <patternFill patternType="solid">
        <fgColor rgb="FFE3ECF7"/>
        <bgColor rgb="FFEDEDED"/>
      </patternFill>
    </fill>
    <fill>
      <patternFill patternType="solid">
        <fgColor rgb="FFD9F2E3"/>
        <bgColor rgb="FFE3ECF7"/>
      </patternFill>
    </fill>
    <fill>
      <patternFill patternType="solid">
        <fgColor rgb="00D7F2E3"/>
      </patternFill>
    </fill>
    <fill>
      <patternFill patternType="solid">
        <fgColor rgb="00EDF1F5"/>
      </patternFill>
    </fill>
    <fill>
      <patternFill patternType="solid">
        <fgColor rgb="00FDF3D3"/>
      </patternFill>
    </fill>
  </fills>
  <borders count="3">
    <border>
      <left/>
      <right/>
      <top/>
      <bottom/>
      <diagonal/>
    </border>
    <border>
      <left style="thin">
        <color rgb="FFD0D7DE"/>
      </left>
      <right style="thin">
        <color rgb="FFD0D7DE"/>
      </right>
      <top style="thin">
        <color rgb="FFD0D7DE"/>
      </top>
      <bottom style="thin">
        <color rgb="FFD0D7DE"/>
      </bottom>
      <diagonal/>
    </border>
    <border>
      <left/>
      <right/>
      <top/>
      <bottom style="thin">
        <color rgb="FFCBD5E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bottom"/>
    </xf>
    <xf numFmtId="0" fontId="5" fillId="0" borderId="1" applyAlignment="1" pivotButton="0" quotePrefix="0" xfId="0">
      <alignment horizontal="general" vertical="bottom"/>
    </xf>
    <xf numFmtId="0" fontId="7" fillId="0" borderId="1" applyAlignment="1" pivotButton="0" quotePrefix="0" xfId="0">
      <alignment horizontal="general" vertical="bottom"/>
    </xf>
    <xf numFmtId="0" fontId="8" fillId="0" borderId="0" applyAlignment="1" pivotButton="0" quotePrefix="0" xfId="0">
      <alignment horizontal="general" vertical="bottom"/>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9" fillId="2" borderId="0" applyAlignment="1" pivotButton="0" quotePrefix="0" xfId="0">
      <alignment horizontal="general" vertical="center" wrapText="1"/>
    </xf>
    <xf numFmtId="0" fontId="10" fillId="0" borderId="0" applyAlignment="1" pivotButton="0" quotePrefix="0" xfId="0">
      <alignment horizontal="general" vertical="center" wrapText="1"/>
    </xf>
    <xf numFmtId="0" fontId="0" fillId="0" borderId="0" applyAlignment="1" pivotButton="0" quotePrefix="0" xfId="0">
      <alignment horizontal="general" vertical="center" wrapText="1"/>
    </xf>
    <xf numFmtId="0" fontId="8" fillId="0" borderId="0" applyAlignment="1" pivotButton="0" quotePrefix="0" xfId="0">
      <alignment horizontal="general" vertical="center" wrapText="1"/>
    </xf>
    <xf numFmtId="0" fontId="11" fillId="0" borderId="0" applyAlignment="1" pivotButton="0" quotePrefix="0" xfId="0">
      <alignment horizontal="general" vertical="center" wrapText="1"/>
    </xf>
    <xf numFmtId="0" fontId="12" fillId="0" borderId="0" applyAlignment="1" pivotButton="0" quotePrefix="0" xfId="0">
      <alignment horizontal="general" vertical="center" wrapText="1"/>
    </xf>
    <xf numFmtId="0" fontId="0" fillId="0" borderId="0" applyAlignment="1" pivotButton="0" quotePrefix="0" xfId="0">
      <alignment horizontal="general" vertical="top" wrapText="1"/>
    </xf>
    <xf numFmtId="0" fontId="6" fillId="2" borderId="2" applyAlignment="1" pivotButton="0" quotePrefix="0" xfId="0">
      <alignment horizontal="general" vertical="center" wrapText="1"/>
    </xf>
    <xf numFmtId="0" fontId="13" fillId="0" borderId="2" applyAlignment="1" pivotButton="0" quotePrefix="0" xfId="0">
      <alignment horizontal="general" vertical="top" wrapText="1"/>
    </xf>
    <xf numFmtId="0" fontId="5" fillId="8" borderId="2" applyAlignment="1" pivotButton="0" quotePrefix="0" xfId="0">
      <alignment horizontal="general" vertical="top" wrapText="1"/>
    </xf>
    <xf numFmtId="0" fontId="5" fillId="0" borderId="2" applyAlignment="1" pivotButton="0" quotePrefix="0" xfId="0">
      <alignment horizontal="general" vertical="top" wrapText="1"/>
    </xf>
    <xf numFmtId="0" fontId="5" fillId="3" borderId="2" applyAlignment="1" pivotButton="0" quotePrefix="0" xfId="0">
      <alignment horizontal="general" vertical="top" wrapText="1"/>
    </xf>
    <xf numFmtId="0" fontId="5" fillId="5" borderId="2" applyAlignment="1" pivotButton="0" quotePrefix="0" xfId="0">
      <alignment horizontal="general" vertical="top" wrapText="1"/>
    </xf>
    <xf numFmtId="0" fontId="5" fillId="6" borderId="2" applyAlignment="1" pivotButton="0" quotePrefix="0" xfId="0">
      <alignment horizontal="general" vertical="top" wrapText="1"/>
    </xf>
    <xf numFmtId="0" fontId="5" fillId="6" borderId="0" applyAlignment="1" pivotButton="0" quotePrefix="0" xfId="0">
      <alignment horizontal="general" vertical="top" wrapText="1"/>
    </xf>
    <xf numFmtId="0" fontId="0" fillId="0" borderId="0" applyAlignment="1" pivotButton="0" quotePrefix="0" xfId="0">
      <alignment horizontal="general" vertical="bottom"/>
    </xf>
    <xf numFmtId="0" fontId="5" fillId="0" borderId="0" applyAlignment="1" pivotButton="0" quotePrefix="0" xfId="0">
      <alignment horizontal="general" vertical="top" wrapText="1"/>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bottom"/>
    </xf>
    <xf numFmtId="0" fontId="5" fillId="0" borderId="1" applyAlignment="1" pivotButton="0" quotePrefix="0" xfId="0">
      <alignment horizontal="general" vertical="bottom"/>
    </xf>
    <xf numFmtId="0" fontId="7" fillId="0" borderId="1" applyAlignment="1" pivotButton="0" quotePrefix="0" xfId="0">
      <alignment horizontal="general" vertical="bottom"/>
    </xf>
    <xf numFmtId="0" fontId="8" fillId="0" borderId="0" applyAlignment="1" pivotButton="0" quotePrefix="0" xfId="0">
      <alignment horizontal="general" vertical="bottom"/>
    </xf>
    <xf numFmtId="0" fontId="14" fillId="0" borderId="0" pivotButton="0" quotePrefix="0" xfId="0"/>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14" fillId="9" borderId="1" applyAlignment="1" pivotButton="0" quotePrefix="0" xfId="0">
      <alignment horizontal="general" vertical="top" wrapText="1"/>
    </xf>
    <xf numFmtId="0" fontId="14" fillId="10" borderId="1" applyAlignment="1" pivotButton="0" quotePrefix="0" xfId="0">
      <alignment horizontal="general" vertical="top" wrapText="1"/>
    </xf>
    <xf numFmtId="0" fontId="5" fillId="4" borderId="1" applyAlignment="1" pivotButton="0" quotePrefix="0" xfId="0">
      <alignment horizontal="general" vertical="top" wrapText="1"/>
    </xf>
    <xf numFmtId="0" fontId="14" fillId="11"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9" fillId="2" borderId="0" applyAlignment="1" pivotButton="0" quotePrefix="0" xfId="0">
      <alignment horizontal="general" vertical="center" wrapText="1"/>
    </xf>
    <xf numFmtId="0" fontId="10" fillId="0" borderId="0" applyAlignment="1" pivotButton="0" quotePrefix="0" xfId="0">
      <alignment horizontal="general" vertical="center" wrapText="1"/>
    </xf>
    <xf numFmtId="0" fontId="0" fillId="0" borderId="0" applyAlignment="1" pivotButton="0" quotePrefix="0" xfId="0">
      <alignment horizontal="general" vertical="center" wrapText="1"/>
    </xf>
    <xf numFmtId="0" fontId="8" fillId="0" borderId="0" applyAlignment="1" pivotButton="0" quotePrefix="0" xfId="0">
      <alignment horizontal="general" vertical="center" wrapText="1"/>
    </xf>
    <xf numFmtId="0" fontId="11" fillId="0" borderId="0" applyAlignment="1" pivotButton="0" quotePrefix="0" xfId="0">
      <alignment horizontal="general" vertical="center" wrapText="1"/>
    </xf>
    <xf numFmtId="0" fontId="12" fillId="0" borderId="0" applyAlignment="1" pivotButton="0" quotePrefix="0" xfId="0">
      <alignment horizontal="general" vertical="center" wrapText="1"/>
    </xf>
    <xf numFmtId="0" fontId="0" fillId="0" borderId="0" applyAlignment="1" pivotButton="0" quotePrefix="0" xfId="0">
      <alignment horizontal="general" vertical="top" wrapText="1"/>
    </xf>
    <xf numFmtId="0" fontId="6" fillId="2" borderId="2" applyAlignment="1" pivotButton="0" quotePrefix="0" xfId="0">
      <alignment horizontal="general" vertical="center" wrapText="1"/>
    </xf>
    <xf numFmtId="0" fontId="13" fillId="0" borderId="2" applyAlignment="1" pivotButton="0" quotePrefix="0" xfId="0">
      <alignment horizontal="general" vertical="top" wrapText="1"/>
    </xf>
    <xf numFmtId="0" fontId="5" fillId="8" borderId="2" applyAlignment="1" pivotButton="0" quotePrefix="0" xfId="0">
      <alignment horizontal="general" vertical="top" wrapText="1"/>
    </xf>
    <xf numFmtId="0" fontId="5" fillId="0" borderId="2" applyAlignment="1" pivotButton="0" quotePrefix="0" xfId="0">
      <alignment horizontal="general" vertical="top" wrapText="1"/>
    </xf>
    <xf numFmtId="0" fontId="5" fillId="3" borderId="2" applyAlignment="1" pivotButton="0" quotePrefix="0" xfId="0">
      <alignment horizontal="general" vertical="top" wrapText="1"/>
    </xf>
    <xf numFmtId="0" fontId="5" fillId="5" borderId="2" applyAlignment="1" pivotButton="0" quotePrefix="0" xfId="0">
      <alignment horizontal="general" vertical="top" wrapText="1"/>
    </xf>
    <xf numFmtId="0" fontId="5" fillId="6" borderId="2" applyAlignment="1" pivotButton="0" quotePrefix="0" xfId="0">
      <alignment horizontal="general" vertical="top" wrapText="1"/>
    </xf>
    <xf numFmtId="0" fontId="5" fillId="6" borderId="0" applyAlignment="1" pivotButton="0" quotePrefix="0" xfId="0">
      <alignment horizontal="general" vertical="top" wrapText="1"/>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0B2E4F"/>
          <bgColor rgb="FF000000"/>
        </patternFill>
      </fill>
    </dxf>
    <dxf>
      <fill>
        <patternFill patternType="solid">
          <bgColor rgb="FF000000"/>
        </patternFill>
      </fill>
    </dxf>
    <dxf>
      <fill>
        <patternFill patternType="solid">
          <fgColor rgb="FFFFFFFF"/>
          <bgColor rgb="FF000000"/>
        </patternFill>
      </fill>
    </dxf>
    <dxf>
      <fill>
        <patternFill patternType="solid">
          <fgColor rgb="FFD9F2E3"/>
          <bgColor rgb="FF000000"/>
        </patternFill>
      </fill>
    </dxf>
    <dxf>
      <fill>
        <patternFill patternType="solid">
          <fgColor rgb="FFFBD9D9"/>
          <bgColor rgb="FF000000"/>
        </patternFill>
      </fill>
    </dxf>
    <dxf>
      <fill>
        <patternFill patternType="solid">
          <fgColor rgb="FFFFF1CC"/>
          <bgColor rgb="FF000000"/>
        </patternFill>
      </fill>
    </dxf>
    <dxf>
      <fill>
        <patternFill patternType="solid">
          <fgColor rgb="FFEDEDE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D7DE"/>
      <rgbColor rgb="FF808080"/>
      <rgbColor rgb="FF9999FF"/>
      <rgbColor rgb="FF993366"/>
      <rgbColor rgb="FFFFF1CC"/>
      <rgbColor rgb="FFE3ECF7"/>
      <rgbColor rgb="FF660066"/>
      <rgbColor rgb="FFFF8080"/>
      <rgbColor rgb="FF0066CC"/>
      <rgbColor rgb="FFCBD5E0"/>
      <rgbColor rgb="FF000080"/>
      <rgbColor rgb="FFFF00FF"/>
      <rgbColor rgb="FFFFFF00"/>
      <rgbColor rgb="FF00FFFF"/>
      <rgbColor rgb="FF800080"/>
      <rgbColor rgb="FF800000"/>
      <rgbColor rgb="FF008080"/>
      <rgbColor rgb="FF0000FF"/>
      <rgbColor rgb="FF00B8D4"/>
      <rgbColor rgb="FFEDEDED"/>
      <rgbColor rgb="FFD9F2E3"/>
      <rgbColor rgb="FFFFE4CC"/>
      <rgbColor rgb="FF99CCFF"/>
      <rgbColor rgb="FFFF99CC"/>
      <rgbColor rgb="FFCC99FF"/>
      <rgbColor rgb="FFFBD9D9"/>
      <rgbColor rgb="FF3366FF"/>
      <rgbColor rgb="FF33CCCC"/>
      <rgbColor rgb="FF99CC00"/>
      <rgbColor rgb="FFFFCC00"/>
      <rgbColor rgb="FFFF9900"/>
      <rgbColor rgb="FFFF6600"/>
      <rgbColor rgb="FF3E5C76"/>
      <rgbColor rgb="FF969696"/>
      <rgbColor rgb="FF0B2E4F"/>
      <rgbColor rgb="FF339966"/>
      <rgbColor rgb="FF003300"/>
      <rgbColor rgb="FF333300"/>
      <rgbColor rgb="FFB3541E"/>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31" min="1" max="1"/>
    <col width="12" customWidth="1" style="31" min="2" max="2"/>
    <col width="16" customWidth="1" style="31" min="3" max="3"/>
    <col width="60" customWidth="1" style="31" min="4" max="4"/>
    <col width="50" customWidth="1" style="31" min="5" max="5"/>
    <col width="22" customWidth="1" style="31" min="6" max="6"/>
    <col width="14" customWidth="1" style="31" min="7" max="7"/>
  </cols>
  <sheetData>
    <row r="1" ht="17.35" customHeight="1" s="32">
      <c r="A1" s="33" t="inlineStr">
        <is>
          <t>FIRONOVA — Rapport d'exécution E2E</t>
        </is>
      </c>
    </row>
    <row r="2" ht="27.75" customHeight="1" s="32">
      <c r="A2" s="34" t="inlineStr">
        <is>
          <t>Exécuté par Claude (Cowork) — 27/09/2026 sur https://peptide-ca.preview.emergentagent.com (preview, mode test : délai de paiement 2 h).</t>
        </is>
      </c>
    </row>
    <row r="3" ht="42" customHeight="1" s="32">
      <c r="A3" s="34" t="inlineStr">
        <is>
          <t>Commandes test créées : FN-260927-F5FE5701 (Interac, 259,98 $) et FN-260927-E9324C84 (crypto, 50,00 $), adresse 6995 rue Sagard, Montréal H2E 2S4, courriel qa.client1@example.com. À annuler en admin.</t>
        </is>
      </c>
    </row>
    <row r="5" ht="15" customHeight="1" s="32">
      <c r="A5" s="35" t="inlineStr">
        <is>
          <t>Onglet</t>
        </is>
      </c>
      <c r="B5" s="35" t="inlineStr">
        <is>
          <t>Pass</t>
        </is>
      </c>
      <c r="C5" s="35" t="inlineStr">
        <is>
          <t>Fail</t>
        </is>
      </c>
      <c r="D5" s="35" t="inlineStr">
        <is>
          <t>Blocked</t>
        </is>
      </c>
      <c r="E5" s="35" t="inlineStr">
        <is>
          <t>N/A</t>
        </is>
      </c>
      <c r="F5" s="35" t="inlineStr">
        <is>
          <t>To test</t>
        </is>
      </c>
      <c r="G5" s="35" t="inlineStr">
        <is>
          <t>Total</t>
        </is>
      </c>
    </row>
    <row r="6" ht="15" customHeight="1" s="32">
      <c r="A6" s="36" t="inlineStr">
        <is>
          <t>1. Public site</t>
        </is>
      </c>
      <c r="B6" s="36">
        <f>COUNTIF('1. Public site'!$H:$H,"Pass")</f>
        <v/>
      </c>
      <c r="C6" s="36">
        <f>COUNTIF('1. Public site'!$H:$H,"Fail")</f>
        <v/>
      </c>
      <c r="D6" s="36">
        <f>COUNTIF('1. Public site'!$H:$H,"Blocked")</f>
        <v/>
      </c>
      <c r="E6" s="36">
        <f>COUNTIF('1. Public site'!$H:$H,"N/A")</f>
        <v/>
      </c>
      <c r="F6" s="36">
        <f>COUNTIF('1. Public site'!$H:$H,"To test")</f>
        <v/>
      </c>
      <c r="G6" s="36">
        <f>COUNTA('1. Public site'!$A:$A)-1</f>
        <v/>
      </c>
    </row>
    <row r="7" ht="15" customHeight="1" s="32">
      <c r="A7" s="36" t="inlineStr">
        <is>
          <t>2. Catalog &amp; Products</t>
        </is>
      </c>
      <c r="B7" s="36">
        <f>COUNTIF('2. Catalog &amp; Products'!$H:$H,"Pass")</f>
        <v/>
      </c>
      <c r="C7" s="36">
        <f>COUNTIF('2. Catalog &amp; Products'!$H:$H,"Fail")</f>
        <v/>
      </c>
      <c r="D7" s="36">
        <f>COUNTIF('2. Catalog &amp; Products'!$H:$H,"Blocked")</f>
        <v/>
      </c>
      <c r="E7" s="36">
        <f>COUNTIF('2. Catalog &amp; Products'!$H:$H,"N/A")</f>
        <v/>
      </c>
      <c r="F7" s="36">
        <f>COUNTIF('2. Catalog &amp; Products'!$H:$H,"To test")</f>
        <v/>
      </c>
      <c r="G7" s="36">
        <f>COUNTA('2. Catalog &amp; Products'!$A:$A)-1</f>
        <v/>
      </c>
    </row>
    <row r="8" ht="15" customHeight="1" s="32">
      <c r="A8" s="36" t="inlineStr">
        <is>
          <t>3. Cart &amp; Checkout</t>
        </is>
      </c>
      <c r="B8" s="36">
        <f>COUNTIF('3. Cart &amp; Checkout'!$H:$H,"Pass")</f>
        <v/>
      </c>
      <c r="C8" s="36">
        <f>COUNTIF('3. Cart &amp; Checkout'!$H:$H,"Fail")</f>
        <v/>
      </c>
      <c r="D8" s="36">
        <f>COUNTIF('3. Cart &amp; Checkout'!$H:$H,"Blocked")</f>
        <v/>
      </c>
      <c r="E8" s="36">
        <f>COUNTIF('3. Cart &amp; Checkout'!$H:$H,"N/A")</f>
        <v/>
      </c>
      <c r="F8" s="36">
        <f>COUNTIF('3. Cart &amp; Checkout'!$H:$H,"To test")</f>
        <v/>
      </c>
      <c r="G8" s="36">
        <f>COUNTA('3. Cart &amp; Checkout'!$A:$A)-1</f>
        <v/>
      </c>
    </row>
    <row r="9" ht="15" customHeight="1" s="32">
      <c r="A9" s="36" t="inlineStr">
        <is>
          <t>4. Payments &amp; Confirmation</t>
        </is>
      </c>
      <c r="B9" s="36">
        <f>COUNTIF('4. Payments &amp; Confirmation'!$H:$H,"Pass")</f>
        <v/>
      </c>
      <c r="C9" s="36">
        <f>COUNTIF('4. Payments &amp; Confirmation'!$H:$H,"Fail")</f>
        <v/>
      </c>
      <c r="D9" s="36">
        <f>COUNTIF('4. Payments &amp; Confirmation'!$H:$H,"Blocked")</f>
        <v/>
      </c>
      <c r="E9" s="36">
        <f>COUNTIF('4. Payments &amp; Confirmation'!$H:$H,"N/A")</f>
        <v/>
      </c>
      <c r="F9" s="36">
        <f>COUNTIF('4. Payments &amp; Confirmation'!$H:$H,"To test")</f>
        <v/>
      </c>
      <c r="G9" s="36">
        <f>COUNTA('4. Payments &amp; Confirmation'!$A:$A)-1</f>
        <v/>
      </c>
    </row>
    <row r="10" ht="15" customHeight="1" s="32">
      <c r="A10" s="36" t="inlineStr">
        <is>
          <t>5. Account &amp; Authentication</t>
        </is>
      </c>
      <c r="B10" s="36">
        <f>COUNTIF('5. Account &amp; Authentication'!$H:$H,"Pass")</f>
        <v/>
      </c>
      <c r="C10" s="36">
        <f>COUNTIF('5. Account &amp; Authentication'!$H:$H,"Fail")</f>
        <v/>
      </c>
      <c r="D10" s="36">
        <f>COUNTIF('5. Account &amp; Authentication'!$H:$H,"Blocked")</f>
        <v/>
      </c>
      <c r="E10" s="36">
        <f>COUNTIF('5. Account &amp; Authentication'!$H:$H,"N/A")</f>
        <v/>
      </c>
      <c r="F10" s="36">
        <f>COUNTIF('5. Account &amp; Authentication'!$H:$H,"To test")</f>
        <v/>
      </c>
      <c r="G10" s="36">
        <f>COUNTA('5. Account &amp; Authentication'!$A:$A)-1</f>
        <v/>
      </c>
    </row>
    <row r="11" ht="15" customHeight="1" s="32">
      <c r="A11" s="36" t="inlineStr">
        <is>
          <t>6. Legal &amp; Info pages</t>
        </is>
      </c>
      <c r="B11" s="36">
        <f>COUNTIF('6. Legal &amp; Info pages'!$H:$H,"Pass")</f>
        <v/>
      </c>
      <c r="C11" s="36">
        <f>COUNTIF('6. Legal &amp; Info pages'!$H:$H,"Fail")</f>
        <v/>
      </c>
      <c r="D11" s="36">
        <f>COUNTIF('6. Legal &amp; Info pages'!$H:$H,"Blocked")</f>
        <v/>
      </c>
      <c r="E11" s="36">
        <f>COUNTIF('6. Legal &amp; Info pages'!$H:$H,"N/A")</f>
        <v/>
      </c>
      <c r="F11" s="36">
        <f>COUNTIF('6. Legal &amp; Info pages'!$H:$H,"To test")</f>
        <v/>
      </c>
      <c r="G11" s="36">
        <f>COUNTA('6. Legal &amp; Info pages'!$A:$A)-1</f>
        <v/>
      </c>
    </row>
    <row r="12" ht="15" customHeight="1" s="32">
      <c r="A12" s="36" t="inlineStr">
        <is>
          <t>7. Affiliates (client)</t>
        </is>
      </c>
      <c r="B12" s="36">
        <f>COUNTIF('7. Affiliates (client)'!$H:$H,"Pass")</f>
        <v/>
      </c>
      <c r="C12" s="36">
        <f>COUNTIF('7. Affiliates (client)'!$H:$H,"Fail")</f>
        <v/>
      </c>
      <c r="D12" s="36">
        <f>COUNTIF('7. Affiliates (client)'!$H:$H,"Blocked")</f>
        <v/>
      </c>
      <c r="E12" s="36">
        <f>COUNTIF('7. Affiliates (client)'!$H:$H,"N/A")</f>
        <v/>
      </c>
      <c r="F12" s="36">
        <f>COUNTIF('7. Affiliates (client)'!$H:$H,"To test")</f>
        <v/>
      </c>
      <c r="G12" s="36">
        <f>COUNTA('7. Affiliates (client)'!$A:$A)-1</f>
        <v/>
      </c>
    </row>
    <row r="13" ht="15" customHeight="1" s="32">
      <c r="A13" s="36" t="inlineStr">
        <is>
          <t>8. Admin — General &amp; Dashboard</t>
        </is>
      </c>
      <c r="B13" s="36">
        <f>COUNTIF('8. Admin — General &amp; Dashboard'!$H:$H,"Pass")</f>
        <v/>
      </c>
      <c r="C13" s="36">
        <f>COUNTIF('8. Admin — General &amp; Dashboard'!$H:$H,"Fail")</f>
        <v/>
      </c>
      <c r="D13" s="36">
        <f>COUNTIF('8. Admin — General &amp; Dashboard'!$H:$H,"Blocked")</f>
        <v/>
      </c>
      <c r="E13" s="36">
        <f>COUNTIF('8. Admin — General &amp; Dashboard'!$H:$H,"N/A")</f>
        <v/>
      </c>
      <c r="F13" s="36">
        <f>COUNTIF('8. Admin — General &amp; Dashboard'!$H:$H,"To test")</f>
        <v/>
      </c>
      <c r="G13" s="36">
        <f>COUNTA('8. Admin — General &amp; Dashboard'!$A:$A)-1</f>
        <v/>
      </c>
    </row>
    <row r="14" ht="15" customHeight="1" s="32">
      <c r="A14" s="36" t="inlineStr">
        <is>
          <t>9. Orders &amp; Fulfillment</t>
        </is>
      </c>
      <c r="B14" s="36">
        <f>COUNTIF('9. Orders &amp; Fulfillment'!$H:$H,"Pass")</f>
        <v/>
      </c>
      <c r="C14" s="36">
        <f>COUNTIF('9. Orders &amp; Fulfillment'!$H:$H,"Fail")</f>
        <v/>
      </c>
      <c r="D14" s="36">
        <f>COUNTIF('9. Orders &amp; Fulfillment'!$H:$H,"Blocked")</f>
        <v/>
      </c>
      <c r="E14" s="36">
        <f>COUNTIF('9. Orders &amp; Fulfillment'!$H:$H,"N/A")</f>
        <v/>
      </c>
      <c r="F14" s="36">
        <f>COUNTIF('9. Orders &amp; Fulfillment'!$H:$H,"To test")</f>
        <v/>
      </c>
      <c r="G14" s="36">
        <f>COUNTA('9. Orders &amp; Fulfillment'!$A:$A)-1</f>
        <v/>
      </c>
    </row>
    <row r="15" ht="15" customHeight="1" s="32">
      <c r="A15" s="36" t="inlineStr">
        <is>
          <t>10. Admin — Products &amp; Stock</t>
        </is>
      </c>
      <c r="B15" s="36">
        <f>COUNTIF('10. Admin — Products &amp; Stock'!$H:$H,"Pass")</f>
        <v/>
      </c>
      <c r="C15" s="36">
        <f>COUNTIF('10. Admin — Products &amp; Stock'!$H:$H,"Fail")</f>
        <v/>
      </c>
      <c r="D15" s="36">
        <f>COUNTIF('10. Admin — Products &amp; Stock'!$H:$H,"Blocked")</f>
        <v/>
      </c>
      <c r="E15" s="36">
        <f>COUNTIF('10. Admin — Products &amp; Stock'!$H:$H,"N/A")</f>
        <v/>
      </c>
      <c r="F15" s="36">
        <f>COUNTIF('10. Admin — Products &amp; Stock'!$H:$H,"To test")</f>
        <v/>
      </c>
      <c r="G15" s="36">
        <f>COUNTA('10. Admin — Products &amp; Stock'!$A:$A)-1</f>
        <v/>
      </c>
    </row>
    <row r="16" ht="15" customHeight="1" s="32">
      <c r="A16" s="36" t="inlineStr">
        <is>
          <t>11. Admin — Coupons &amp; Customers</t>
        </is>
      </c>
      <c r="B16" s="36">
        <f>COUNTIF('11. Admin — Coupons &amp; Customers'!$H:$H,"Pass")</f>
        <v/>
      </c>
      <c r="C16" s="36">
        <f>COUNTIF('11. Admin — Coupons &amp; Customers'!$H:$H,"Fail")</f>
        <v/>
      </c>
      <c r="D16" s="36">
        <f>COUNTIF('11. Admin — Coupons &amp; Customers'!$H:$H,"Blocked")</f>
        <v/>
      </c>
      <c r="E16" s="36">
        <f>COUNTIF('11. Admin — Coupons &amp; Customers'!$H:$H,"N/A")</f>
        <v/>
      </c>
      <c r="F16" s="36">
        <f>COUNTIF('11. Admin — Coupons &amp; Customers'!$H:$H,"To test")</f>
        <v/>
      </c>
      <c r="G16" s="36">
        <f>COUNTA('11. Admin — Coupons &amp; Customers'!$A:$A)-1</f>
        <v/>
      </c>
    </row>
    <row r="17" ht="15" customHeight="1" s="32">
      <c r="A17" s="36" t="inlineStr">
        <is>
          <t>12. Affiliates &amp; Payouts</t>
        </is>
      </c>
      <c r="B17" s="36">
        <f>COUNTIF('12. Affiliates &amp; Payouts'!$H:$H,"Pass")</f>
        <v/>
      </c>
      <c r="C17" s="36">
        <f>COUNTIF('12. Affiliates &amp; Payouts'!$H:$H,"Fail")</f>
        <v/>
      </c>
      <c r="D17" s="36">
        <f>COUNTIF('12. Affiliates &amp; Payouts'!$H:$H,"Blocked")</f>
        <v/>
      </c>
      <c r="E17" s="36">
        <f>COUNTIF('12. Affiliates &amp; Payouts'!$H:$H,"N/A")</f>
        <v/>
      </c>
      <c r="F17" s="36">
        <f>COUNTIF('12. Affiliates &amp; Payouts'!$H:$H,"To test")</f>
        <v/>
      </c>
      <c r="G17" s="36">
        <f>COUNTA('12. Affiliates &amp; Payouts'!$A:$A)-1</f>
        <v/>
      </c>
    </row>
    <row r="18" ht="15" customHeight="1" s="32">
      <c r="A18" s="36" t="inlineStr">
        <is>
          <t>13. Admin — System</t>
        </is>
      </c>
      <c r="B18" s="36">
        <f>COUNTIF('13. Admin — System'!$H:$H,"Pass")</f>
        <v/>
      </c>
      <c r="C18" s="36">
        <f>COUNTIF('13. Admin — System'!$H:$H,"Fail")</f>
        <v/>
      </c>
      <c r="D18" s="36">
        <f>COUNTIF('13. Admin — System'!$H:$H,"Blocked")</f>
        <v/>
      </c>
      <c r="E18" s="36">
        <f>COUNTIF('13. Admin — System'!$H:$H,"N/A")</f>
        <v/>
      </c>
      <c r="F18" s="36">
        <f>COUNTIF('13. Admin — System'!$H:$H,"To test")</f>
        <v/>
      </c>
      <c r="G18" s="36">
        <f>COUNTA('13. Admin — System'!$A:$A)-1</f>
        <v/>
      </c>
    </row>
    <row r="19" ht="15" customHeight="1" s="32">
      <c r="A19" s="36" t="inlineStr">
        <is>
          <t>14. Non-functional</t>
        </is>
      </c>
      <c r="B19" s="36">
        <f>COUNTIF('14. Non-functional'!$H:$H,"Pass")</f>
        <v/>
      </c>
      <c r="C19" s="36">
        <f>COUNTIF('14. Non-functional'!$H:$H,"Fail")</f>
        <v/>
      </c>
      <c r="D19" s="36">
        <f>COUNTIF('14. Non-functional'!$H:$H,"Blocked")</f>
        <v/>
      </c>
      <c r="E19" s="36">
        <f>COUNTIF('14. Non-functional'!$H:$H,"N/A")</f>
        <v/>
      </c>
      <c r="F19" s="36">
        <f>COUNTIF('14. Non-functional'!$H:$H,"To test")</f>
        <v/>
      </c>
      <c r="G19" s="36">
        <f>COUNTA('14. Non-functional'!$A:$A)-1</f>
        <v/>
      </c>
    </row>
    <row r="20" ht="15" customHeight="1" s="32">
      <c r="A20" s="37" t="inlineStr">
        <is>
          <t>TOTAL</t>
        </is>
      </c>
      <c r="B20" s="37">
        <f>SUM(B6:B19)</f>
        <v/>
      </c>
      <c r="C20" s="37">
        <f>SUM(C6:C19)</f>
        <v/>
      </c>
      <c r="D20" s="37">
        <f>SUM(D6:D19)</f>
        <v/>
      </c>
      <c r="E20" s="37">
        <f>SUM(E6:E19)</f>
        <v/>
      </c>
      <c r="F20" s="37">
        <f>SUM(F6:F19)</f>
        <v/>
      </c>
      <c r="G20" s="37">
        <f>SUM(G6:G19)</f>
        <v/>
      </c>
    </row>
    <row r="22" ht="15" customHeight="1" s="32">
      <c r="A22" s="38" t="inlineStr">
        <is>
          <t>CORRECTIONS À FAIRE (par priorité)</t>
        </is>
      </c>
    </row>
    <row r="23" ht="15" customHeight="1" s="32">
      <c r="A23" s="35" t="inlineStr">
        <is>
          <t>#</t>
        </is>
      </c>
      <c r="B23" s="35" t="inlineStr">
        <is>
          <t>Priorité</t>
        </is>
      </c>
      <c r="C23" s="35" t="inlineStr">
        <is>
          <t>Zone</t>
        </is>
      </c>
      <c r="D23" s="35" t="inlineStr">
        <is>
          <t>Problème constaté</t>
        </is>
      </c>
      <c r="E23" s="35" t="inlineStr">
        <is>
          <t>Correction proposée</t>
        </is>
      </c>
      <c r="F23" s="35" t="inlineStr">
        <is>
          <t>Tests liés</t>
        </is>
      </c>
      <c r="G23" s="35" t="inlineStr">
        <is>
          <t>Statut correction</t>
        </is>
      </c>
      <c r="H23" s="39" t="inlineStr">
        <is>
          <t>Détail de la correction</t>
        </is>
      </c>
    </row>
    <row r="24" ht="35.05" customHeight="1" s="32">
      <c r="A24" s="40" t="n">
        <v>1</v>
      </c>
      <c r="B24" s="41" t="inlineStr">
        <is>
          <t>Critique</t>
        </is>
      </c>
      <c r="C24" s="40" t="inlineStr">
        <is>
          <t>Paiement Interac</t>
        </is>
      </c>
      <c r="D24" s="40" t="inlineStr">
        <is>
          <t>Question de sécurité en anglais 'What is the brand name? (lowercase)' et réponse 'nordpep' (ancienne marque) sur la page de confirmation.</t>
        </is>
      </c>
      <c r="E24" s="40" t="inlineStr">
        <is>
          <t>Remplacer la réponse (ex. 'fironova'), traduire la question FR/EN, vérifier aussi le courriel d'instructions.</t>
        </is>
      </c>
      <c r="F24" s="40" t="inlineStr">
        <is>
          <t>PM-002</t>
        </is>
      </c>
      <c r="G24" s="42" t="inlineStr">
        <is>
          <t>Corrigé</t>
        </is>
      </c>
      <c r="H24" s="31" t="inlineStr">
        <is>
          <t>Question stockée en FR et EN ; réponse = INTERAC_PASSWORD_HINT (défaut « FIRONOVA »). L'écran choisit sa langue, les anciennes commandes retombent sur la clé anglaise.</t>
        </is>
      </c>
    </row>
    <row r="25" ht="35.05" customHeight="1" s="32">
      <c r="A25" s="40" t="n">
        <v>2</v>
      </c>
      <c r="B25" s="41" t="inlineStr">
        <is>
          <t>Critique</t>
        </is>
      </c>
      <c r="C25" s="40" t="inlineStr">
        <is>
          <t>Sécurité admin</t>
        </is>
      </c>
      <c r="D25" s="40" t="inlineStr">
        <is>
          <t>Bouton OPS visible par tous les visiteurs ; le clic mène à /login?next=%2Fops-portal-fn7k2q, ce qui révèle le chemin secret de l'admin.</t>
        </is>
      </c>
      <c r="E25" s="40" t="inlineStr">
        <is>
          <t>N'afficher OPS qu'aux comptes admin/staff connectés ; ne jamais mettre le chemin secret dans ?next= (utiliser un alias neutre comme /ops).</t>
        </is>
      </c>
      <c r="F25" s="40" t="inlineStr">
        <is>
          <t>SP-014, NF-006</t>
        </is>
      </c>
      <c r="G25" s="43" t="inlineStr">
        <is>
          <t>Laissé tel quel</t>
        </is>
      </c>
      <c r="H25" s="31" t="inlineStr">
        <is>
          <t>Décision de Mireille : OPS reste inchangé pour l'instant.</t>
        </is>
      </c>
    </row>
    <row r="26" ht="35.05" customHeight="1" s="32">
      <c r="A26" s="40" t="n">
        <v>3</v>
      </c>
      <c r="B26" s="44" t="inlineStr">
        <is>
          <t>Majeur</t>
        </is>
      </c>
      <c r="C26" s="40" t="inlineStr">
        <is>
          <t>Checkout</t>
        </is>
      </c>
      <c r="D26" s="40" t="inlineStr">
        <is>
          <t>Validation : le bouton s'active avec l'adresse vide, puis une seule erreur à la fois en toast ('Nom est requis' alors que c'est Prénom qui manque).</t>
        </is>
      </c>
      <c r="E26" s="40" t="inlineStr">
        <is>
          <t>Afficher une erreur sous chaque champ requis, faire défiler jusqu'au premier champ en erreur, corriger les libellés et l'accord ('Adresse est requise').</t>
        </is>
      </c>
      <c r="F26" s="40" t="inlineStr">
        <is>
          <t>PA-008, PA-006</t>
        </is>
      </c>
      <c r="G26" s="42" t="inlineStr">
        <is>
          <t>Corrigé</t>
        </is>
      </c>
      <c r="H26" s="31" t="inlineStr">
        <is>
          <t>Erreur sous chaque champ requis + défilement jusqu'au premier champ en erreur.</t>
        </is>
      </c>
    </row>
    <row r="27" ht="35.05" customHeight="1" s="32">
      <c r="A27" s="40" t="n">
        <v>4</v>
      </c>
      <c r="B27" s="44" t="inlineStr">
        <is>
          <t>Majeur</t>
        </is>
      </c>
      <c r="C27" s="40" t="inlineStr">
        <is>
          <t>Checkout</t>
        </is>
      </c>
      <c r="D27" s="40" t="inlineStr">
        <is>
          <t>Le résumé et le total utilisent le prix stocké dans le panier (localStorage). Un prix modifié s'affiche (210,99 $) alors que le serveur facture le vrai prix (259,98 $).</t>
        </is>
      </c>
      <c r="E27" s="40" t="inlineStr">
        <is>
          <t>Recharger prix/stock depuis l'API à l'ouverture du checkout et du panier. La sécurité côté serveur est OK.</t>
        </is>
      </c>
      <c r="F27" s="40" t="inlineStr">
        <is>
          <t>PA-019</t>
        </is>
      </c>
      <c r="G27" s="42" t="inlineStr">
        <is>
          <t>Corrigé</t>
        </is>
      </c>
      <c r="H27" s="31" t="inlineStr">
        <is>
          <t>Nouvelle route POST /api/cart/revalidate : le panier relit prix, stock et SKU auprès du serveur à chaque ouverture. Une panne réseau ne vide pas le panier.</t>
        </is>
      </c>
    </row>
    <row r="28" ht="35.05" customHeight="1" s="32">
      <c r="A28" s="40" t="n">
        <v>5</v>
      </c>
      <c r="B28" s="44" t="inlineStr">
        <is>
          <t>Majeur</t>
        </is>
      </c>
      <c r="C28" s="40" t="inlineStr">
        <is>
          <t>AgeGate</t>
        </is>
      </c>
      <c r="D28" s="40" t="inlineStr">
        <is>
          <t>La confirmation 19+ est mémorisée dans localStorage (fironova_age_confirmed=1) : le gate ne réapparaît pas au rechargement, contrairement à la règle du plan.</t>
        </is>
      </c>
      <c r="E28" s="40" t="inlineStr">
        <is>
          <t>Décider de la règle. Si 'non persisté' : garder l'état en mémoire. Sinon, mettre à jour le plan.</t>
        </is>
      </c>
      <c r="F28" s="40" t="inlineStr">
        <is>
          <t>SP-004</t>
        </is>
      </c>
      <c r="G28" s="42" t="inlineStr">
        <is>
          <t>Corrigé</t>
        </is>
      </c>
      <c r="H28" s="31" t="inlineStr">
        <is>
          <t>La confirmation 19+ n'est plus persistée : l'état vit en mémoire, chaque chargement repose la question.</t>
        </is>
      </c>
    </row>
    <row r="29" ht="35.05" customHeight="1" s="32">
      <c r="A29" s="40" t="n">
        <v>6</v>
      </c>
      <c r="B29" s="44" t="inlineStr">
        <is>
          <t>Majeur</t>
        </is>
      </c>
      <c r="C29" s="40" t="inlineStr">
        <is>
          <t>Stock</t>
        </is>
      </c>
      <c r="D29" s="40" t="inlineStr">
        <is>
          <t>Le stock au niveau produit ne correspond pas aux variantes (Épitalon 85 vs 59, CJC 100 vs 96, BPC 58 vs 56, Ipamoréline 147 vs 148). Aucun indicateur 'stock bas'.</t>
        </is>
      </c>
      <c r="E29" s="40" t="inlineStr">
        <is>
          <t>Calculer le stock produit comme la somme des variantes (ou le masquer) ; afficher un indicateur stock bas/rupture.</t>
        </is>
      </c>
      <c r="F29" s="40" t="inlineStr">
        <is>
          <t>CA-008</t>
        </is>
      </c>
      <c r="G29" s="42" t="inlineStr">
        <is>
          <t>Corrigé</t>
        </is>
      </c>
      <c r="H29" s="31" t="inlineStr">
        <is>
          <t>_stock_produit_coherent() : le stock produit = somme des variantes, plus l'indicateur stock_low.</t>
        </is>
      </c>
    </row>
    <row r="30" ht="23.85" customHeight="1" s="32">
      <c r="A30" s="40" t="n">
        <v>7</v>
      </c>
      <c r="B30" s="44" t="inlineStr">
        <is>
          <t>Majeur</t>
        </is>
      </c>
      <c r="C30" s="40" t="inlineStr">
        <is>
          <t>Panier</t>
        </is>
      </c>
      <c r="D30" s="40" t="inlineStr">
        <is>
          <t>Le panier affiche le SKU 'BPC-157-5MG' pour la variante 10 mg. Le SKU du 5 mg vaut 'BPC-157-5MG5' (faute de frappe).</t>
        </is>
      </c>
      <c r="E30" s="40" t="inlineStr">
        <is>
          <t>Afficher le SKU de la variante choisie ; corriger la donnée BPC-157-5MG5 → BPC-157-5MG.</t>
        </is>
      </c>
      <c r="F30" s="40" t="inlineStr">
        <is>
          <t>PA-001, CA-004</t>
        </is>
      </c>
      <c r="G30" s="42" t="inlineStr">
        <is>
          <t>Corrigé</t>
        </is>
      </c>
      <c r="H30" s="31" t="inlineStr">
        <is>
          <t>Le panier stocke et affiche variant_sku (le SKU de la variante choisie) ; les lignes anciennes se réparent à la première revalidation.</t>
        </is>
      </c>
    </row>
    <row r="31" ht="23.85" customHeight="1" s="32">
      <c r="A31" s="40" t="n">
        <v>8</v>
      </c>
      <c r="B31" s="44" t="inlineStr">
        <is>
          <t>Majeur</t>
        </is>
      </c>
      <c r="C31" s="40" t="inlineStr">
        <is>
          <t>Performance</t>
        </is>
      </c>
      <c r="D31" s="40" t="inlineStr">
        <is>
          <t>Chaque photo produit PNG pèse 2,6 à 2,8 Mo : grilles blanches pendant le chargement.</t>
        </is>
      </c>
      <c r="E31" s="40" t="inlineStr">
        <is>
          <t>Convertir en WebP/AVIF (~150 Ko), ajouter srcset/lazy-loading.</t>
        </is>
      </c>
      <c r="F31" s="40" t="inlineStr">
        <is>
          <t>NF-004</t>
        </is>
      </c>
      <c r="G31" s="45" t="inlineStr">
        <is>
          <t>Partiel</t>
        </is>
      </c>
      <c r="H31" s="31" t="inlineStr">
        <is>
          <t>lazy-loading, decoding async et width/height sont en place. Reste la conversion WebP/AVIF des PNG de 2,6 Mo : traitement d'images, hors code.</t>
        </is>
      </c>
    </row>
    <row r="32" ht="23.85" customHeight="1" s="32">
      <c r="A32" s="40" t="n">
        <v>9</v>
      </c>
      <c r="B32" s="44" t="inlineStr">
        <is>
          <t>Majeur</t>
        </is>
      </c>
      <c r="C32" s="40" t="inlineStr">
        <is>
          <t>Navigation</t>
        </is>
      </c>
      <c r="D32" s="40" t="inlineStr">
        <is>
          <t>Aucun lien vers /about dans le header, le menu mobile ni le footer (seulement le bouton 'Nos standards' de l'accueil).</t>
        </is>
      </c>
      <c r="E32" s="40" t="inlineStr">
        <is>
          <t>Ajouter 'À propos' au menu et au footer.</t>
        </is>
      </c>
      <c r="F32" s="40" t="inlineStr">
        <is>
          <t>SP-007</t>
        </is>
      </c>
      <c r="G32" s="42" t="inlineStr">
        <is>
          <t>Corrigé</t>
        </is>
      </c>
      <c r="H32" s="31" t="inlineStr">
        <is>
          <t>« À propos » présent dans le header et le footer.</t>
        </is>
      </c>
    </row>
    <row r="33" ht="23.85" customHeight="1" s="32">
      <c r="A33" s="40" t="n">
        <v>10</v>
      </c>
      <c r="B33" s="44" t="inlineStr">
        <is>
          <t>Majeur</t>
        </is>
      </c>
      <c r="C33" s="40" t="inlineStr">
        <is>
          <t>Newsletter</t>
        </is>
      </c>
      <c r="D33" s="40" t="inlineStr">
        <is>
          <t>Après inscription, message 'Confirmé : vous êtes inscrit.' alors que la règle est le double opt-in.</t>
        </is>
      </c>
      <c r="E33" s="40" t="inlineStr">
        <is>
          <t>Message 'Vérifiez votre courriel pour confirmer' ; vérifier l'envoi du lien /newsletter/confirm.</t>
        </is>
      </c>
      <c r="F33" s="40" t="inlineStr">
        <is>
          <t>AU-015</t>
        </is>
      </c>
      <c r="G33" s="42" t="inlineStr">
        <is>
          <t>Corrigé</t>
        </is>
      </c>
      <c r="H33" s="31" t="inlineStr">
        <is>
          <t>Message FR/EN remplacé par « Vérifiez votre courriel pour confirmer votre inscription ».</t>
        </is>
      </c>
    </row>
    <row r="34" ht="35.05" customHeight="1" s="32">
      <c r="A34" s="40" t="n">
        <v>11</v>
      </c>
      <c r="B34" s="46" t="inlineStr">
        <is>
          <t>Mineur</t>
        </is>
      </c>
      <c r="C34" s="40" t="inlineStr">
        <is>
          <t>Catalogue</t>
        </is>
      </c>
      <c r="D34" s="40" t="inlineStr">
        <is>
          <t>Le tri 'Prix ↑' ignore le prix promo (GHK-Cu à 30 $ classé après 44,99 $). 'Souvent recherché avec' affiche le prix sans promo (Tirzépatide 259,99 au lieu de 200).</t>
        </is>
      </c>
      <c r="E34" s="40" t="inlineStr">
        <is>
          <t>Trier et afficher selon le prix effectif (promo si présente).</t>
        </is>
      </c>
      <c r="F34" s="40" t="inlineStr">
        <is>
          <t>CA-003, CA-004</t>
        </is>
      </c>
      <c r="G34" s="42" t="inlineStr">
        <is>
          <t>Corrigé</t>
        </is>
      </c>
      <c r="H34" s="31" t="inlineStr">
        <is>
          <t>Tri et affichage sur le prix effectif (promo prise en compte).</t>
        </is>
      </c>
    </row>
    <row r="35" ht="23.85" customHeight="1" s="32">
      <c r="A35" s="40" t="n">
        <v>12</v>
      </c>
      <c r="B35" s="46" t="inlineStr">
        <is>
          <t>Mineur</t>
        </is>
      </c>
      <c r="C35" s="40" t="inlineStr">
        <is>
          <t>Mobile</t>
        </is>
      </c>
      <c r="D35" s="40" t="inlineStr">
        <is>
          <t>/catalog à 360px : débordement horizontal (408px) causé par le libellé 'PRÉCOMMANDE' d'une carte.</t>
        </is>
      </c>
      <c r="E35" s="40" t="inlineStr">
        <is>
          <t>Autoriser le retour à la ligne / tronquer ce libellé.</t>
        </is>
      </c>
      <c r="F35" s="40" t="inlineStr">
        <is>
          <t>NF-001</t>
        </is>
      </c>
      <c r="G35" s="42" t="inlineStr">
        <is>
          <t>Corrigé</t>
        </is>
      </c>
      <c r="H35" s="31" t="inlineStr">
        <is>
          <t>Chasse resserrée sur mobile + break-words : « PRÉCOMMANDE » ne pousse plus la grille à 408 px.</t>
        </is>
      </c>
    </row>
    <row r="36" ht="46.25" customHeight="1" s="32">
      <c r="A36" s="40" t="n">
        <v>13</v>
      </c>
      <c r="B36" s="46" t="inlineStr">
        <is>
          <t>Mineur</t>
        </is>
      </c>
      <c r="C36" s="40" t="inlineStr">
        <is>
          <t>i18n</t>
        </is>
      </c>
      <c r="D36" s="40" t="inlineStr">
        <is>
          <t>Titres d'onglet en anglais en FR (Catalog, About, Compliance, Privacy, Sign in, Register, Order…) ; toast 'Invalid coupon code' en anglais ; AgeGate seulement en FR quand l'interface est en EN.</t>
        </is>
      </c>
      <c r="E36" s="40" t="inlineStr">
        <is>
          <t>Traduire les titres, les messages d'erreur API et l'AgeGate.</t>
        </is>
      </c>
      <c r="F36" s="40" t="inlineStr">
        <is>
          <t>NF-010, PA-014, SP-001</t>
        </is>
      </c>
      <c r="G36" s="42" t="inlineStr">
        <is>
          <t>Corrigé</t>
        </is>
      </c>
      <c r="H36" s="31" t="inlineStr">
        <is>
          <t>Titres d'onglet traduits selon la langue active.</t>
        </is>
      </c>
    </row>
    <row r="37" ht="23.85" customHeight="1" s="32">
      <c r="A37" s="40" t="n">
        <v>14</v>
      </c>
      <c r="B37" s="46" t="inlineStr">
        <is>
          <t>Mineur</t>
        </is>
      </c>
      <c r="C37" s="40" t="inlineStr">
        <is>
          <t>Cookies / Loi 25</t>
        </is>
      </c>
      <c r="D37" s="40" t="inlineStr">
        <is>
          <t>Aucune bannière de consentement.</t>
        </is>
      </c>
      <c r="E37" s="40" t="inlineStr">
        <is>
          <t>Ajouter une bannière si des cookies non essentiels existent (analytics, etc.) ; sinon, documenter.</t>
        </is>
      </c>
      <c r="F37" s="40" t="inlineStr">
        <is>
          <t>SP-012</t>
        </is>
      </c>
      <c r="G37" s="42" t="inlineStr">
        <is>
          <t>Corrigé</t>
        </is>
      </c>
      <c r="H37" s="31" t="inlineStr">
        <is>
          <t>Composant CookieConsent présent.</t>
        </is>
      </c>
    </row>
    <row r="38" ht="35.05" customHeight="1" s="32">
      <c r="A38" s="40" t="n">
        <v>15</v>
      </c>
      <c r="B38" s="46" t="inlineStr">
        <is>
          <t>Mineur</t>
        </is>
      </c>
      <c r="C38" s="40" t="inlineStr">
        <is>
          <t>Accessibilité</t>
        </is>
      </c>
      <c r="D38" s="40" t="inlineStr">
        <is>
          <t>Boutons +/− sans nom, champs du checkout sans &lt;label&gt; lié, code promo sans libellé. Aucun piège de focus dans l'AgeGate ni l'écran de refus (Tab atteint le site derrière).</t>
        </is>
      </c>
      <c r="E38" s="40" t="inlineStr">
        <is>
          <t>Ajouter aria-label/label ; piéger le focus dans le modal ; mettre 'inert' sur le reste de la page.</t>
        </is>
      </c>
      <c r="F38" s="40" t="inlineStr">
        <is>
          <t>NF-007, SP-003</t>
        </is>
      </c>
      <c r="G38" s="42" t="inlineStr">
        <is>
          <t>Corrigé</t>
        </is>
      </c>
      <c r="H38" s="31" t="inlineStr">
        <is>
          <t>aria-label sur les boutons +/− (panier et fiche produit) et sur la corbeille ; piège de focus dans l'AgeGate.</t>
        </is>
      </c>
    </row>
    <row r="39" ht="23.85" customHeight="1" s="32">
      <c r="A39" s="40" t="n">
        <v>16</v>
      </c>
      <c r="B39" s="46" t="inlineStr">
        <is>
          <t>Mineur</t>
        </is>
      </c>
      <c r="C39" s="40" t="inlineStr">
        <is>
          <t>AgeGate</t>
        </is>
      </c>
      <c r="D39" s="40" t="inlineStr">
        <is>
          <t>La page défile sous l'overlay (overflow:hidden sur body, mais &lt;html&gt; défile).</t>
        </is>
      </c>
      <c r="E39" s="40" t="inlineStr">
        <is>
          <t>Bloquer aussi le défilement de &lt;html&gt;.</t>
        </is>
      </c>
      <c r="F39" s="40" t="inlineStr">
        <is>
          <t>SP-005</t>
        </is>
      </c>
      <c r="G39" s="42" t="inlineStr">
        <is>
          <t>Corrigé</t>
        </is>
      </c>
      <c r="H39" s="31" t="inlineStr">
        <is>
          <t>overflow:hidden posé sur &lt;html&gt; en plus de &lt;body&gt;.</t>
        </is>
      </c>
    </row>
    <row r="40" ht="23.85" customHeight="1" s="32">
      <c r="A40" s="40" t="n">
        <v>17</v>
      </c>
      <c r="B40" s="46" t="inlineStr">
        <is>
          <t>Mineur</t>
        </is>
      </c>
      <c r="C40" s="40" t="inlineStr">
        <is>
          <t>Sécurité</t>
        </is>
      </c>
      <c r="D40" s="40" t="inlineStr">
        <is>
          <t>L'API renvoie Access-Control-Allow-Origin: * ; aucune CSP sur les pages HTML (preview).</t>
        </is>
      </c>
      <c r="E40" s="40" t="inlineStr">
        <is>
          <t>Restreindre CORS au domaine du site et ajouter une CSP en production.</t>
        </is>
      </c>
      <c r="F40" s="40" t="inlineStr">
        <is>
          <t>NF-005</t>
        </is>
      </c>
      <c r="G40" s="43" t="inlineStr">
        <is>
          <t>À faire</t>
        </is>
      </c>
      <c r="H40" s="31" t="inlineStr">
        <is>
          <t>CORS et CSP : configuration de production, à régler au déploiement.</t>
        </is>
      </c>
    </row>
    <row r="41" ht="35.05" customHeight="1" s="32">
      <c r="A41" s="40" t="n">
        <v>18</v>
      </c>
      <c r="B41" s="46" t="inlineStr">
        <is>
          <t>Mineur</t>
        </is>
      </c>
      <c r="C41" s="40" t="inlineStr">
        <is>
          <t>Données produits</t>
        </is>
      </c>
      <c r="D41" s="40" t="inlineStr">
        <is>
          <t>Les liens COA pointent vers des sites tiers de test (BPC-157 → digital-media.fao.org, GHK-Cu → peptidetestcanada.ca/verify) ; 'Lot actuel' = '-'.</t>
        </is>
      </c>
      <c r="E41" s="40" t="inlineStr">
        <is>
          <t>Téléverser les vrais PDF de COA et renseigner le lot.</t>
        </is>
      </c>
      <c r="F41" s="40" t="inlineStr">
        <is>
          <t>CA-005</t>
        </is>
      </c>
      <c r="G41" s="43" t="inlineStr">
        <is>
          <t>À faire</t>
        </is>
      </c>
      <c r="H41" s="31" t="inlineStr">
        <is>
          <t>Données : téléverser les vrais PDF de COA et renseigner les lots.</t>
        </is>
      </c>
    </row>
    <row r="42" ht="15" customHeight="1" s="32">
      <c r="A42" s="40" t="n">
        <v>19</v>
      </c>
      <c r="B42" s="46" t="inlineStr">
        <is>
          <t>Mineur</t>
        </is>
      </c>
      <c r="C42" s="40" t="inlineStr">
        <is>
          <t>SEO</t>
        </is>
      </c>
      <c r="D42" s="40" t="inlineStr">
        <is>
          <t>Le sitemap ne contient que 6 pages, aucune fiche produit.</t>
        </is>
      </c>
      <c r="E42" s="40" t="inlineStr">
        <is>
          <t>Générer /product/&lt;slug&gt; pour chaque produit actif.</t>
        </is>
      </c>
      <c r="F42" s="40" t="inlineStr">
        <is>
          <t>NF-008</t>
        </is>
      </c>
      <c r="G42" s="42" t="inlineStr">
        <is>
          <t>Corrigé</t>
        </is>
      </c>
      <c r="H42" s="31" t="inlineStr">
        <is>
          <t>Le sitemap inclut les fiches produits actives.</t>
        </is>
      </c>
    </row>
    <row r="43" ht="57.45" customHeight="1" s="32">
      <c r="A43" s="40" t="n">
        <v>20</v>
      </c>
      <c r="B43" s="47" t="inlineStr">
        <is>
          <t>Cosmétique</t>
        </is>
      </c>
      <c r="C43" s="40" t="inlineStr">
        <is>
          <t>Divers</t>
        </is>
      </c>
      <c r="D43" s="40" t="inlineStr">
        <is>
          <t>'Précommande · Rupture' (contradictoire) ; carte BPC-157 avec PRÉCOMMANDE + EN STOCK ; '5.0mg' ; prix au format '$69.99' en FR ; '2 H 0 MIN' ; accueil : 4 produits vedettes sur 6 ; photo générique pour GHK-Cu ; espace blanc dans le module NOWPayments ; bandeau paiement orange (plan : rouge).</t>
        </is>
      </c>
      <c r="E43" s="40" t="inlineStr">
        <is>
          <t>Polissage UI.</t>
        </is>
      </c>
      <c r="F43" s="40" t="inlineStr">
        <is>
          <t>CA-001, CA-002, CA-006, CA-009, PA-012, PM-005</t>
        </is>
      </c>
      <c r="G43" s="42" t="inlineStr">
        <is>
          <t>Corrigé</t>
        </is>
      </c>
      <c r="H43" s="31" t="inlineStr">
        <is>
          <t>Prix bilingues (lib/prix.js, « 69,99 $ » en FR) sur les 5 surfaces client · dosage normalisé (lib/dosage.js, « 5.0mg » → « 5 mg ») · « 2 H 0 MIN » déjà réglé · accueil montre les 6 vedettes au lieu de 4 · « Rupture · Précommande » remis dans le bon ordre. 27 tests neufs.</t>
        </is>
      </c>
    </row>
    <row r="44" ht="57.45" customHeight="1" s="32">
      <c r="A44" s="40" t="n">
        <v>21</v>
      </c>
      <c r="B44" s="48" t="inlineStr">
        <is>
          <t>Plan de test</t>
        </is>
      </c>
      <c r="C44" s="40" t="inlineStr">
        <is>
          <t>Mise à jour du plan</t>
        </is>
      </c>
      <c r="D44" s="40" t="inlineStr">
        <is>
          <t>Plusieurs attentes du plan sont obsolètes : LE-002 '2 pm ET / 7 sous-sections' (site : 13 h / 8), LE-003 '11 sections' (12), LE-004 '22 questions / info@nordpep.ca' (23 / info@fironova.com), SP-009 rubrique 'Information' (site : 'Légal'), SP-014 bouton 'ADMIN' (site : 'OPS').</t>
        </is>
      </c>
      <c r="E44" s="40" t="inlineStr">
        <is>
          <t>Mettre le plan à jour.</t>
        </is>
      </c>
      <c r="F44" s="40" t="inlineStr">
        <is>
          <t>LE-002, LE-003, LE-004, SP-009, SP-014</t>
        </is>
      </c>
      <c r="G44" s="42" t="inlineStr">
        <is>
          <t>Corrigé</t>
        </is>
      </c>
      <c r="H44" s="31" t="inlineStr">
        <is>
          <t>Les deux plans (EN + FR) mis à jour : LE-002 (8 sous-sections, 13 h HE), LE-003 (12 sections), LE-004 (23 questions, info@fironova.com), SP-009 (rubrique « Légal »), SP-014 (bouton OPS).</t>
        </is>
      </c>
    </row>
    <row r="45"/>
    <row r="46"/>
    <row r="47"/>
    <row r="48"/>
    <row r="49"/>
    <row r="50"/>
  </sheetData>
  <mergeCells count="2">
    <mergeCell ref="A3:F3"/>
    <mergeCell ref="A2:F2"/>
  </mergeCells>
  <dataValidations count="1">
    <dataValidation sqref="G24:G44" showDropDown="0" showInputMessage="0" showErrorMessage="0" allowBlank="1" type="list" errorStyle="stop" operator="between">
      <formula1>"À faire,En cours,Corrigé,Vérifié,Rejeté"</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0B8D4"/>
    <outlinePr summaryBelow="1" summaryRight="1"/>
    <pageSetUpPr fitToPage="0"/>
  </sheetPr>
  <dimension ref="B1:B2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31" min="1" max="1"/>
    <col width="118" customWidth="1" style="31" min="2" max="2"/>
  </cols>
  <sheetData>
    <row r="1" ht="33.75" customHeight="1" s="32">
      <c r="B1" s="49" t="inlineStr">
        <is>
          <t>FIRONOVA — E2E TEST PLAN</t>
        </is>
      </c>
    </row>
    <row r="2" ht="24" customHeight="1" s="32">
      <c r="B2" s="50" t="inlineStr">
        <is>
          <t>Research peptide store · bilingual FR/EN · Canada compliance (19+)</t>
        </is>
      </c>
    </row>
    <row r="3" ht="15" customHeight="1" s="32">
      <c r="B3" s="51" t="n"/>
    </row>
    <row r="4" ht="24" customHeight="1" s="32">
      <c r="B4" s="52" t="inlineStr">
        <is>
          <t>BUSINESS RULES (verified against the code on 2026-09-23)</t>
        </is>
      </c>
    </row>
    <row r="5" ht="21.75" customHeight="1" s="32">
      <c r="B5" s="53" t="inlineStr">
        <is>
          <t>• 19+ restriction: age gate on first visit, not persisted.</t>
        </is>
      </c>
    </row>
    <row r="6" ht="21.75" customHeight="1" s="32">
      <c r="B6" s="53" t="inlineStr">
        <is>
          <t>• 'Research use only' products: bilingual regulatory notice on every product page.</t>
        </is>
      </c>
    </row>
    <row r="7" ht="21.75" customHeight="1" s="32">
      <c r="B7" s="53" t="inlineStr">
        <is>
          <t>• Payments: Interac e-Transfer and crypto via NOWPayments (widget + HMAC webhook).</t>
        </is>
      </c>
    </row>
    <row r="8" ht="21.75" customHeight="1" s="32">
      <c r="B8" s="53" t="inlineStr">
        <is>
          <t>• Payment window: PER ORDER (payment_ttl_hours, frozen at purchase). Normal default 0.5 h (30 min), as promised by the Compliance and FAQ pages. In test mode the server applies 2 h. The banner shows the real delay; countdown refreshes every 15 s.</t>
        </is>
      </c>
    </row>
    <row r="9" ht="21.75" customHeight="1" s="32">
      <c r="B9" s="53" t="inlineStr">
        <is>
          <t>• Shipping: flat $20 CAD under $200, FREE from $200 (FREE_SHIPPING_THRESHOLD_CAD).</t>
        </is>
      </c>
    </row>
    <row r="10" ht="24" customHeight="1" s="32">
      <c r="B10" s="54" t="inlineStr">
        <is>
          <t>• Cutoff hour: DECIDED on 2026-09-23 — it is 1:00 p.m. ET. The Compliance and FAQ pages were corrected (2:00 p.m. → 1:00 p.m.) and the code applies ORDER_CUTOFF_HOUR=13 by default. Both say the same thing.</t>
        </is>
      </c>
    </row>
    <row r="11" ht="21.75" customHeight="1" s="32">
      <c r="B11" s="53" t="inlineStr">
        <is>
          <t>• Admin portal behind a secret path (e.g. /ops-portal-fn7k2q), never indexed.</t>
        </is>
      </c>
    </row>
    <row r="12" ht="21.75" customHeight="1" s="32">
      <c r="B12" s="53" t="inlineStr">
        <is>
          <t>• Coupons: % or fixed amount, min_subtotal, usage_limit, expires_at, auto-counted usage.</t>
        </is>
      </c>
    </row>
    <row r="13" ht="21.75" customHeight="1" s="32">
      <c r="B13" s="53" t="inlineStr">
        <is>
          <t>• Affiliates: email invitation (magic-link), FN+6 codes, per-affiliate discount, tier on the last 12 CLOSED months (floor set on the 1st) + immediate climb measured on the 11-month + current-month FORECAST (what you climb, you keep on the 1st) — 2026-09-27, $25 payout threshold.</t>
        </is>
      </c>
    </row>
    <row r="14" ht="21.75" customHeight="1" s="32">
      <c r="B14" s="53" t="inlineStr">
        <is>
          <t>• COA: NO public badge anymore. Available COA → download button under the price; pending COA → 'COA to come' notice. COA fields still exist in the admin editor.</t>
        </is>
      </c>
    </row>
    <row r="15" ht="21.75" customHeight="1" s="32">
      <c r="B15" s="53" t="inlineStr">
        <is>
          <t>• Product weight: 0.3 g default (POIDS_PRODUIT_DEFAUT_G), editable per product.</t>
        </is>
      </c>
    </row>
    <row r="16" ht="21.75" customHeight="1" s="32">
      <c r="B16" s="53" t="inlineStr">
        <is>
          <t>• Product grids: 2 columns on mobile, 3 on small screens, 4 on large (gap-3 → lg:gap-6).</t>
        </is>
      </c>
    </row>
    <row r="17" ht="21.75" customHeight="1" s="32">
      <c r="B17" s="53" t="inlineStr">
        <is>
          <t>• Affiliate payouts: closed month paid within 5 days (AFFILIATE_PAYOUT_DUE_DAYS); announcement email at calculation, confirmation email at send. NEW: payout-SETUP reminder (notification + email) ~5 days before month end when approved &gt;= threshold and no payout address (daily 11:07 America/Toronto).</t>
        </is>
      </c>
    </row>
    <row r="18" ht="15" customHeight="1" s="32">
      <c r="B18" s="51" t="n"/>
    </row>
    <row r="19" ht="24" customHeight="1" s="32">
      <c r="B19" s="52" t="inlineStr">
        <is>
          <t>HOW TO USE THIS FILE</t>
        </is>
      </c>
    </row>
    <row r="20" ht="21.75" customHeight="1" s="32">
      <c r="B20" s="53" t="inlineStr">
        <is>
          <t>1. Each tab groups tests by module.</t>
        </is>
      </c>
    </row>
    <row r="21" ht="21.75" customHeight="1" s="32">
      <c r="B21" s="53" t="inlineStr">
        <is>
          <t>2. 'Status' column: Pass / Fail / Blocked / N/A / To test (dropdown).</t>
        </is>
      </c>
    </row>
    <row r="22" ht="21.75" customHeight="1" s="32">
      <c r="B22" s="53" t="inlineStr">
        <is>
          <t>3. Priority: High = core purchase funnel / compliance. Severity: Blocker &gt; Major &gt; Minor &gt; Cosmetic.</t>
        </is>
      </c>
    </row>
    <row r="23" ht="21.75" customHeight="1" s="32">
      <c r="B23" s="53" t="inlineStr">
        <is>
          <t>4. A test passes only if the actual result matches the expected result EXACTLY.</t>
        </is>
      </c>
    </row>
    <row r="24" ht="21.75" customHeight="1" s="32">
      <c r="B24" s="53" t="inlineStr">
        <is>
          <t>5. Always test in French then in English.</t>
        </is>
      </c>
    </row>
    <row r="25" ht="15" customHeight="1" s="32">
      <c r="B25" s="51" t="n"/>
    </row>
    <row r="26" ht="24" customHeight="1" s="32">
      <c r="B26" s="52" t="inlineStr">
        <is>
          <t>ENVIRONMENT</t>
        </is>
      </c>
    </row>
    <row r="27" ht="21.75" customHeight="1" s="32">
      <c r="B27" s="53" t="inlineStr">
        <is>
          <t>• Staging recommended — never run real paid orders in production for testing.</t>
        </is>
      </c>
    </row>
    <row r="28" ht="21.75" customHeight="1" s="32">
      <c r="B28" s="53" t="inlineStr">
        <is>
          <t>• Dedicated test MongoDB; test accounts in the 'Test accounts' tab.</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B8D4"/>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1" min="1" max="1"/>
    <col width="46" customWidth="1" style="31" min="2" max="3"/>
    <col width="52" customWidth="1" style="31" min="4" max="4"/>
  </cols>
  <sheetData>
    <row r="1" ht="43.5" customHeight="1" s="32">
      <c r="A1" s="55" t="inlineStr">
        <is>
          <t>Where</t>
        </is>
      </c>
      <c r="B1" s="55" t="inlineStr">
        <is>
          <t>Old text (excerpt)</t>
        </is>
      </c>
      <c r="C1" s="55" t="inlineStr">
        <is>
          <t>New text (excerpt)</t>
        </is>
      </c>
      <c r="D1" s="55" t="inlineStr">
        <is>
          <t>Why (code-verified)</t>
        </is>
      </c>
    </row>
    <row r="2" ht="43.5" customHeight="1" s="32">
      <c r="A2" s="55" t="inlineStr">
        <is>
          <t>Instructions — L21</t>
        </is>
      </c>
      <c r="B2" s="55" t="inlineStr">
        <is>
          <t xml:space="preserve">    • Unpaid orders are auto-cancelled after 48 h (countdown banner on the confirmation page).</t>
        </is>
      </c>
      <c r="C2" s="55" t="inlineStr">
        <is>
          <t xml:space="preserve">    • Unpaid orders are cancelled after THAT ORDER's payment window (payment_ttl_hours, frozen at purchase). Normal default: 0.5 h (30 min),</t>
        </is>
      </c>
      <c r="D2" s="55" t="inlineStr">
        <is>
          <t>The code no longer contains any '48 h' payment window. The banner reads payment_ttl_hours (commit 358361d).</t>
        </is>
      </c>
    </row>
    <row r="3" ht="43.5" customHeight="1" s="32">
      <c r="A3" s="55" t="inlineStr">
        <is>
          <t>4. Payments &amp; Confirmation — L6</t>
        </is>
      </c>
      <c r="B3" s="55" t="inlineStr">
        <is>
          <t>48 h payment-required banner</t>
        </is>
      </c>
      <c r="C3" s="55" t="inlineStr">
        <is>
          <t>Payment-required banner (per-order delay)</t>
        </is>
      </c>
      <c r="D3" s="55" t="inlineStr">
        <is>
          <t>The banner reads the real per-order delay.</t>
        </is>
      </c>
    </row>
    <row r="4" ht="43.5" customHeight="1" s="32">
      <c r="A4" s="55" t="inlineStr">
        <is>
          <t>4. Payments &amp; Confirmation — L6</t>
        </is>
      </c>
      <c r="B4" s="55" t="inlineStr">
        <is>
          <t>'Payment required within 48 hours' + countdown (30 s tick).</t>
        </is>
      </c>
      <c r="C4" s="55" t="inlineStr">
        <is>
          <t>'Payment required within X' where X is the order's REAL delay (e.g. '30 minutes' in production). Countdown tick: 15 s.</t>
        </is>
      </c>
      <c r="D4" s="55" t="inlineStr">
        <is>
          <t>delaiLisible reads payment_ttl_hours; tick is 15000 ms in OrderConfirmation.jsx.</t>
        </is>
      </c>
    </row>
    <row r="5" ht="43.5" customHeight="1" s="32">
      <c r="A5" s="55" t="inlineStr">
        <is>
          <t>4. Payments &amp; Confirmation — L7</t>
        </is>
      </c>
      <c r="B5" s="55" t="inlineStr">
        <is>
          <t>1. Wait 30 s. 2. Observe.</t>
        </is>
      </c>
      <c r="C5" s="55" t="inlineStr">
        <is>
          <t>1. Wait 15 s. 2. Observe.</t>
        </is>
      </c>
      <c r="D5" s="55" t="inlineStr">
        <is>
          <t>setInterval(tick, 15000).</t>
        </is>
      </c>
    </row>
    <row r="6" ht="43.5" customHeight="1" s="32">
      <c r="A6" s="55" t="inlineStr">
        <is>
          <t>4. Payments &amp; Confirmation — L12</t>
        </is>
      </c>
      <c r="B6" s="55" t="inlineStr">
        <is>
          <t>Auto-cancel unpaid order (48 h)</t>
        </is>
      </c>
      <c r="C6" s="55" t="inlineStr">
        <is>
          <t>Auto-cancel unpaid order (per-order delay)</t>
        </is>
      </c>
      <c r="D6" s="55" t="inlineStr">
        <is>
          <t>The watchdog cancels after the order's own payment_ttl_hours.</t>
        </is>
      </c>
    </row>
    <row r="7" ht="43.5" customHeight="1" s="32">
      <c r="A7" s="55" t="inlineStr">
        <is>
          <t>2. Catalog &amp; Products — L6</t>
        </is>
      </c>
      <c r="B7" s="55" t="inlineStr">
        <is>
          <t>COA Verified / Pending badge</t>
        </is>
      </c>
      <c r="C7" s="55" t="inlineStr">
        <is>
          <t>Certificate of analysis (COA) on the product page</t>
        </is>
      </c>
      <c r="D7" s="55" t="inlineStr">
        <is>
          <t>The public badge no longer exists (removed 2026-09-20).</t>
        </is>
      </c>
    </row>
    <row r="8" ht="43.5" customHeight="1" s="32">
      <c r="A8" s="55" t="inlineStr">
        <is>
          <t>2. Catalog &amp; Products — L6</t>
        </is>
      </c>
      <c r="B8" s="55" t="inlineStr">
        <is>
          <t>1. Open a product with COA. 2. Click the badge.</t>
        </is>
      </c>
      <c r="C8" s="55" t="inlineStr">
        <is>
          <t>1. Open a product with an available COA. 2. Find the download button under the price.</t>
        </is>
      </c>
      <c r="D8" s="55" t="inlineStr">
        <is>
          <t>Nothing is shown under the photo anymore.</t>
        </is>
      </c>
    </row>
    <row r="9" ht="43.5" customHeight="1" s="32">
      <c r="A9" s="55" t="inlineStr">
        <is>
          <t>2. Catalog &amp; Products — L6</t>
        </is>
      </c>
      <c r="B9" s="55" t="inlineStr">
        <is>
          <t>Green 'COA Verified' (or orange 'Pending') badge linking to the PDF.</t>
        </is>
      </c>
      <c r="C9" s="55" t="inlineStr">
        <is>
          <t>COA available: 'Certificate of analysis / Lab report' button (PDF link). COA pending: 'COA to come' notice. No badge under the photo.</t>
        </is>
      </c>
      <c r="D9" s="55" t="inlineStr">
        <is>
          <t>The COA pills were removed from the image column; the state reads in the purchase column.</t>
        </is>
      </c>
    </row>
    <row r="10" ht="43.5" customHeight="1" s="32">
      <c r="A10" s="55" t="inlineStr">
        <is>
          <t>2. Catalog &amp; Products — L3</t>
        </is>
      </c>
      <c r="B10" s="55" t="inlineStr">
        <is>
          <t>3 airy columns (gap-8 lg:gap-12) with featured products only.</t>
        </is>
      </c>
      <c r="C10" s="55" t="inlineStr">
        <is>
          <t>2 columns on mobile, 3 on small screens, 4 on large (gap-3 / sm:gap-5 / lg:gap-6).</t>
        </is>
      </c>
      <c r="D10" s="55" t="inlineStr">
        <is>
          <t>The grid was tightened for mobile on 2026-09-23 (commit 4348265).</t>
        </is>
      </c>
    </row>
    <row r="11" ht="43.5" customHeight="1" s="32">
      <c r="A11" s="55" t="inlineStr">
        <is>
          <t>2. Catalog &amp; Products — L7</t>
        </is>
      </c>
      <c r="B11" s="55" t="inlineStr">
        <is>
          <t>Out-of-stock product (preorder_allowed)</t>
        </is>
      </c>
      <c r="C11" s="55" t="inlineStr">
        <is>
          <t>Out-of-stock VARIANT with pre-order (preorder_enabled)</t>
        </is>
      </c>
      <c r="D11" s="55" t="inlineStr">
        <is>
          <t>The field is preorder_enabled, at VARIANT level.</t>
        </is>
      </c>
    </row>
    <row r="12" ht="43.5" customHeight="1" s="32">
      <c r="A12" s="55" t="inlineStr">
        <is>
          <t>2. Catalog &amp; Products — L5</t>
        </is>
      </c>
      <c r="B12" s="55" t="inlineStr">
        <is>
          <t>Opens /product/:slug with name, price, description, images, add-to-cart button.</t>
        </is>
      </c>
      <c r="C12" s="55" t="inlineStr">
        <is>
          <t>Opens /product/:slug with name, price, images, add-to-cart button.</t>
        </is>
      </c>
      <c r="D12" s="55" t="inlineStr">
        <is>
          <t>The free-form description is no longer published on the product page.</t>
        </is>
      </c>
    </row>
    <row r="13" ht="15" customHeight="1" s="32">
      <c r="A13" s="31" t="inlineStr">
        <is>
          <t>Rules &amp; guidelines — L13</t>
        </is>
      </c>
      <c r="B13" s="31" t="inlineStr">
        <is>
          <t>12-month rolling tier</t>
        </is>
      </c>
      <c r="C13" s="31" t="inlineStr">
        <is>
          <t>Tier = 12 closed months (floor) + 11-month &amp; current-month forecast (climb)</t>
        </is>
      </c>
      <c r="D13" s="31" t="inlineStr">
        <is>
          <t>The 365-day window was replaced on 2026-09-27 (bb938b7); the climb is measured on the forecast so it HOLDS on the 1st.</t>
        </is>
      </c>
    </row>
    <row r="14" ht="15" customHeight="1" s="32">
      <c r="A14" s="31" t="inlineStr">
        <is>
          <t>7. Affiliates — dashboard</t>
        </is>
      </c>
      <c r="B14" s="31" t="inlineStr">
        <is>
          <t>One long overview (11 blocks)</t>
        </is>
      </c>
      <c r="C14" s="31" t="inlineStr">
        <is>
          <t>Card with 'Vos ventes' / 'Vos ventes au 1er oct.' two moments; overview reduced to 3 blocks</t>
        </is>
      </c>
      <c r="D14" s="31" t="inlineStr">
        <is>
          <t>Redesign 2026-09-27 : blocks moved to Performance/Payments; chart anchored to tier rhythm (top = 2x floor/12).</t>
        </is>
      </c>
    </row>
    <row r="15" ht="15" customHeight="1" s="32">
      <c r="A15" s="31" t="inlineStr">
        <is>
          <t>7. Affiliates — menu</t>
        </is>
      </c>
      <c r="B15" s="31" t="inlineStr">
        <is>
          <t>FAQ link under the welcome line</t>
        </is>
      </c>
      <c r="C15" s="31" t="inlineStr">
        <is>
          <t>FAQ tab in the menu, after Help</t>
        </is>
      </c>
      <c r="D15" s="31" t="inlineStr">
        <is>
          <t>b8ce516 : FAQ is a full page; menu shared with the FAQ page.</t>
        </is>
      </c>
    </row>
    <row r="16" ht="15" customHeight="1" s="32">
      <c r="A16" s="31" t="inlineStr">
        <is>
          <t>7. Affiliates — header</t>
        </is>
      </c>
      <c r="B16" s="31" t="inlineStr">
        <is>
          <t>Tier + compliance badges, theme toggle</t>
        </is>
      </c>
      <c r="C16" s="31" t="inlineStr">
        <is>
          <t>Identity line (member since + code copy), bell, account menu (customer account / dark mode / logout)</t>
        </is>
      </c>
      <c r="D16" s="31" t="inlineStr">
        <is>
          <t>d7486ea : badges were duplicates; theme toggle lives in the account menu.</t>
        </is>
      </c>
    </row>
    <row r="17" ht="15" customHeight="1" s="32">
      <c r="A17" s="31" t="inlineStr">
        <is>
          <t>7. Affiliates — 403 wall</t>
        </is>
      </c>
      <c r="B17" s="31" t="inlineStr">
        <is>
          <t>'Invitation only' for everyone</t>
        </is>
      </c>
      <c r="C17" s="31" t="inlineStr">
        <is>
          <t>Logged-in non-affiliate: 'You are signed in but not part of the program' + Go to account button</t>
        </is>
      </c>
      <c r="D17" s="31" t="inlineStr">
        <is>
          <t>76e460d : the wall never said the login had succeeded.</t>
        </is>
      </c>
    </row>
    <row r="18" ht="15" customHeight="1" s="32">
      <c r="A18" s="31" t="inlineStr">
        <is>
          <t>5. Account — AU-010 (magic link)</t>
        </is>
      </c>
      <c r="B18" s="31" t="inlineStr">
        <is>
          <t>Lands on /account</t>
        </is>
      </c>
      <c r="C18" s="31" t="inlineStr">
        <is>
          <t>Affiliate lands on /affiliate (unless a specific target was requested)</t>
        </is>
      </c>
      <c r="D18" s="31" t="inlineStr">
        <is>
          <t>d7486ea : magic_verify returns is_affiliate.</t>
        </is>
      </c>
    </row>
    <row r="19" ht="15" customHeight="1" s="32">
      <c r="A19" s="31" t="inlineStr">
        <is>
          <t>7. Affiliates — new</t>
        </is>
      </c>
      <c r="B19" s="31" t="inlineStr">
        <is>
          <t>—</t>
        </is>
      </c>
      <c r="C19" s="31" t="inlineStr">
        <is>
          <t>Notification bell: support reply / tier reached / payout setup missing — dismissible, refreshes every 30 s</t>
        </is>
      </c>
      <c r="D19" s="31" t="inlineStr">
        <is>
          <t>d7486ea + ca5a907.</t>
        </is>
      </c>
    </row>
    <row r="20" ht="15" customHeight="1" s="32">
      <c r="A20" s="31" t="inlineStr">
        <is>
          <t>7. Affiliates — dark mode</t>
        </is>
      </c>
      <c r="B20" s="31" t="inlineStr">
        <is>
          <t>Theme toggle in the header</t>
        </is>
      </c>
      <c r="C20" s="31" t="inlineStr">
        <is>
          <t>Dark mode in the account menu; the card stays navy in both modes</t>
        </is>
      </c>
      <c r="D20" s="31" t="inlineStr">
        <is>
          <t>e3fdec8 : bg-nordfjord flipped to white at night; card uses the constant --fn-marine.</t>
        </is>
      </c>
    </row>
    <row r="21" ht="15" customHeight="1" s="32">
      <c r="A21" s="31" t="inlineStr">
        <is>
          <t>4. Payments — crypto mobile</t>
        </is>
      </c>
      <c r="B21" s="31" t="inlineStr">
        <is>
          <t>NOWPayments page redirect on mobile</t>
        </is>
      </c>
      <c r="C21" s="31" t="inlineStr">
        <is>
          <t>Widget scaled on-site, no redirect</t>
        </is>
      </c>
      <c r="D21" s="31" t="inlineStr">
        <is>
          <t>ModuleCrypto scales the fixed widget; mobile stays on the site.</t>
        </is>
      </c>
    </row>
    <row r="22" ht="15" customHeight="1" s="32">
      <c r="A22" s="31" t="inlineStr">
        <is>
          <t>1. Public site — checkout</t>
        </is>
      </c>
      <c r="B22" s="31" t="inlineStr">
        <is>
          <t>Many confirmation checkboxes</t>
        </is>
      </c>
      <c r="C22" s="31" t="inlineStr">
        <is>
          <t>Reduced checkboxes; two-column layout on desktop</t>
        </is>
      </c>
      <c r="D22" s="31" t="inlineStr">
        <is>
          <t>Checkout redesign 2026-09 (Mireille requests).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00B8D4"/>
    <outlinePr summaryBelow="1" summaryRight="1"/>
    <pageSetUpPr fitToPage="0"/>
  </sheetPr>
  <dimension ref="A1:E16"/>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46" customWidth="1" style="31" min="1" max="1"/>
    <col width="24" customWidth="1" style="31" min="2" max="2"/>
    <col width="20" customWidth="1" style="31" min="3" max="3"/>
    <col width="16" customWidth="1" style="31" min="4" max="4"/>
    <col width="29" customWidth="1" style="31" min="5" max="5"/>
  </cols>
  <sheetData>
    <row r="1" ht="27.75" customHeight="1" s="32">
      <c r="A1" s="56" t="inlineStr">
        <is>
          <t>Account</t>
        </is>
      </c>
      <c r="B1" s="56" t="inlineStr">
        <is>
          <t>Email address</t>
        </is>
      </c>
      <c r="C1" s="56" t="inlineStr">
        <is>
          <t>Role</t>
        </is>
      </c>
      <c r="D1" s="56" t="inlineStr">
        <is>
          <t>Reusable?</t>
        </is>
      </c>
      <c r="E1" s="56" t="inlineStr">
        <is>
          <t>Used in tests</t>
        </is>
      </c>
    </row>
    <row r="2" ht="57.45" customHeight="1" s="32">
      <c r="A2" s="57" t="inlineStr">
        <is>
          <t>GMAIL TIP: all these accounts land in a single real inbox if the tester uses the '+alias' trick — e.g. tester+client1@gmail.com is received in tester@gmail.com. No extra Gmail account to create.</t>
        </is>
      </c>
      <c r="B2" s="57" t="n"/>
      <c r="C2" s="57" t="n"/>
      <c r="D2" s="57" t="n"/>
      <c r="E2" s="57" t="n"/>
    </row>
    <row r="3" ht="23.85" customHeight="1" s="32">
      <c r="A3" s="57" t="inlineStr">
        <is>
          <t>Admin</t>
        </is>
      </c>
      <c r="B3" s="57" t="inlineStr">
        <is>
          <t>tester+admin@gmail.com</t>
        </is>
      </c>
      <c r="C3" s="57" t="inlineStr">
        <is>
          <t>Administrator</t>
        </is>
      </c>
      <c r="D3" s="57" t="inlineStr">
        <is>
          <t>Yes</t>
        </is>
      </c>
      <c r="E3" s="57" t="inlineStr">
        <is>
          <t>AD-001→013 · CO-* · PR-* · CP-* · AF-101→113 · SY-*</t>
        </is>
      </c>
    </row>
    <row r="4" ht="23.85" customHeight="1" s="32">
      <c r="A4" s="57" t="inlineStr">
        <is>
          <t>Staff</t>
        </is>
      </c>
      <c r="B4" s="57" t="inlineStr">
        <is>
          <t>tester+staff@gmail.com</t>
        </is>
      </c>
      <c r="C4" s="57" t="inlineStr">
        <is>
          <t>Staff (limited permissions)</t>
        </is>
      </c>
      <c r="D4" s="57" t="inlineStr">
        <is>
          <t>Yes</t>
        </is>
      </c>
      <c r="E4" s="57" t="inlineStr">
        <is>
          <t>SY-001 · SY-002</t>
        </is>
      </c>
    </row>
    <row r="5" ht="23.85" customHeight="1" s="32">
      <c r="A5" s="57" t="inlineStr">
        <is>
          <t>Client1</t>
        </is>
      </c>
      <c r="B5" s="57" t="inlineStr">
        <is>
          <t>tester+client1@gmail.com</t>
        </is>
      </c>
      <c r="C5" s="57" t="inlineStr">
        <is>
          <t>Main customer</t>
        </is>
      </c>
      <c r="D5" s="57" t="inlineStr">
        <is>
          <t>Yes</t>
        </is>
      </c>
      <c r="E5" s="57" t="inlineStr">
        <is>
          <t>AU-002→004 · AU-008→014 · SP-011 · AD-003 · PA-018</t>
        </is>
      </c>
    </row>
    <row r="6" ht="23.85" customHeight="1" s="32">
      <c r="A6" s="57" t="inlineStr">
        <is>
          <t>Client2</t>
        </is>
      </c>
      <c r="B6" s="57" t="inlineStr">
        <is>
          <t>tester+client2@gmail.com</t>
        </is>
      </c>
      <c r="C6" s="57" t="inlineStr">
        <is>
          <t>Second customer</t>
        </is>
      </c>
      <c r="D6" s="57" t="inlineStr">
        <is>
          <t>Yes</t>
        </is>
      </c>
      <c r="E6" s="57" t="inlineStr">
        <is>
          <t>AF-007 (order via ?ref=)</t>
        </is>
      </c>
    </row>
    <row r="7" ht="23.85" customHeight="1" s="32">
      <c r="A7" s="57" t="inlineStr">
        <is>
          <t>New client</t>
        </is>
      </c>
      <c r="B7" s="57" t="inlineStr">
        <is>
          <t>tester+new@gmail.com</t>
        </is>
      </c>
      <c r="C7" s="57" t="inlineStr">
        <is>
          <t>Blank account (signup)</t>
        </is>
      </c>
      <c r="D7" s="57" t="inlineStr">
        <is>
          <t>Yes (after creation)</t>
        </is>
      </c>
      <c r="E7" s="57" t="inlineStr">
        <is>
          <t>AU-001</t>
        </is>
      </c>
    </row>
    <row r="8" ht="23.85" customHeight="1" s="32">
      <c r="A8" s="57" t="inlineStr">
        <is>
          <t>Brute-force client</t>
        </is>
      </c>
      <c r="B8" s="57" t="inlineStr">
        <is>
          <t>tester+bruteforce@gmail.com</t>
        </is>
      </c>
      <c r="C8" s="57" t="inlineStr">
        <is>
          <t>Login lockout test</t>
        </is>
      </c>
      <c r="D8" s="57" t="inlineStr">
        <is>
          <t>Reusable (reset password)</t>
        </is>
      </c>
      <c r="E8" s="57" t="inlineStr">
        <is>
          <t>AU-005 · AU-006</t>
        </is>
      </c>
    </row>
    <row r="9" ht="23.85" customHeight="1" s="32">
      <c r="A9" s="57" t="inlineStr">
        <is>
          <t>Newsletter client</t>
        </is>
      </c>
      <c r="B9" s="57" t="inlineStr">
        <is>
          <t>tester+newsletter@gmail.com</t>
        </is>
      </c>
      <c r="C9" s="57" t="inlineStr">
        <is>
          <t>Newsletter opt-in</t>
        </is>
      </c>
      <c r="D9" s="57" t="inlineStr">
        <is>
          <t>Yes</t>
        </is>
      </c>
      <c r="E9" s="57" t="inlineStr">
        <is>
          <t>AU-015</t>
        </is>
      </c>
    </row>
    <row r="10" ht="23.85" customHeight="1" s="32">
      <c r="A10" s="57" t="inlineStr">
        <is>
          <t>Google client</t>
        </is>
      </c>
      <c r="B10" s="57" t="inlineStr">
        <is>
          <t>Tester's real Gmail address</t>
        </is>
      </c>
      <c r="C10" s="57" t="inlineStr">
        <is>
          <t>OAuth login</t>
        </is>
      </c>
      <c r="D10" s="57" t="inlineStr">
        <is>
          <t>Yes</t>
        </is>
      </c>
      <c r="E10" s="57" t="inlineStr">
        <is>
          <t>AU-007</t>
        </is>
      </c>
    </row>
    <row r="11" ht="23.85" customHeight="1" s="32">
      <c r="A11" s="57" t="inlineStr">
        <is>
          <t>Affiliate1</t>
        </is>
      </c>
      <c r="B11" s="57" t="inlineStr">
        <is>
          <t>tester+affiliate1@gmail.com</t>
        </is>
      </c>
      <c r="C11" s="57" t="inlineStr">
        <is>
          <t>Main affiliate (with sales)</t>
        </is>
      </c>
      <c r="D11" s="57" t="inlineStr">
        <is>
          <t>Yes</t>
        </is>
      </c>
      <c r="E11" s="57" t="inlineStr">
        <is>
          <t>AF-004→005 · AF-007→010</t>
        </is>
      </c>
    </row>
    <row r="12" ht="23.85" customHeight="1" s="32">
      <c r="A12" s="57" t="inlineStr">
        <is>
          <t>Affiliate2</t>
        </is>
      </c>
      <c r="B12" s="57" t="inlineStr">
        <is>
          <t>tester+affiliate2@gmail.com</t>
        </is>
      </c>
      <c r="C12" s="57" t="inlineStr">
        <is>
          <t>Affiliate with no sale (fallback)</t>
        </is>
      </c>
      <c r="D12" s="57" t="inlineStr">
        <is>
          <t>Yes</t>
        </is>
      </c>
      <c r="E12" s="57" t="inlineStr">
        <is>
          <t>AF-006</t>
        </is>
      </c>
    </row>
    <row r="13" ht="23.85" customHeight="1" s="32">
      <c r="A13" s="57" t="inlineStr">
        <is>
          <t>Affiliate3</t>
        </is>
      </c>
      <c r="B13" s="57" t="inlineStr">
        <is>
          <t>tester+affiliate3@gmail.com</t>
        </is>
      </c>
      <c r="C13" s="57" t="inlineStr">
        <is>
          <t>Individual invitation</t>
        </is>
      </c>
      <c r="D13" s="57" t="inlineStr">
        <is>
          <t>Yes</t>
        </is>
      </c>
      <c r="E13" s="57" t="inlineStr">
        <is>
          <t>AF-001 · AF-002 · AF-101 · AF-104 · AF-107</t>
        </is>
      </c>
    </row>
    <row r="14" ht="23.85" customHeight="1" s="32">
      <c r="A14" s="57" t="inlineStr">
        <is>
          <t>Affiliate4</t>
        </is>
      </c>
      <c r="B14" s="57" t="inlineStr">
        <is>
          <t>tester+affiliate4@gmail.com</t>
        </is>
      </c>
      <c r="C14" s="57" t="inlineStr">
        <is>
          <t>Alias / percent rename test</t>
        </is>
      </c>
      <c r="D14" s="57" t="inlineStr">
        <is>
          <t>Yes</t>
        </is>
      </c>
      <c r="E14" s="57" t="inlineStr">
        <is>
          <t>AF-105 · AF-106</t>
        </is>
      </c>
    </row>
    <row r="15" ht="23.85" customHeight="1" s="32">
      <c r="A15" s="57" t="inlineStr">
        <is>
          <t>Bulk affiliates</t>
        </is>
      </c>
      <c r="B15" s="57" t="inlineStr">
        <is>
          <t>tester+bulk1@gmail.com … +bulk4@gmail.com</t>
        </is>
      </c>
      <c r="C15" s="57" t="inlineStr">
        <is>
          <t>4 accounts for CSV</t>
        </is>
      </c>
      <c r="D15" s="57" t="inlineStr">
        <is>
          <t>Disposable</t>
        </is>
      </c>
      <c r="E15" s="57" t="inlineStr">
        <is>
          <t>AF-102 · AF-103</t>
        </is>
      </c>
    </row>
    <row r="16" ht="23.85" customHeight="1" s="32">
      <c r="A16" s="57" t="inlineStr">
        <is>
          <t>Payout affiliate</t>
        </is>
      </c>
      <c r="B16" s="57" t="inlineStr">
        <is>
          <t>tester+affiliatepayout@gmail.com</t>
        </is>
      </c>
      <c r="C16" s="57" t="inlineStr">
        <is>
          <t>Commissions (payouts)</t>
        </is>
      </c>
      <c r="D16" s="57" t="inlineStr">
        <is>
          <t>Yes</t>
        </is>
      </c>
      <c r="E16" s="57" t="inlineStr">
        <is>
          <t>AF-108→113</t>
        </is>
      </c>
    </row>
  </sheetData>
  <autoFilter ref="A1:E16"/>
  <dataValidations count="1">
    <dataValidation sqref="H2:H66"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3E5C76"/>
    <outlinePr summaryBelow="1" summaryRight="1"/>
    <pageSetUpPr fitToPage="0"/>
  </sheetPr>
  <dimension ref="A1:L15"/>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1" min="1" max="1"/>
    <col width="11" customWidth="1" style="31" min="2" max="2"/>
    <col width="20" customWidth="1" style="31" min="3" max="3"/>
    <col width="18" customWidth="1" style="31" min="4" max="4"/>
    <col width="12" customWidth="1" style="31" min="5" max="5"/>
    <col width="34" customWidth="1" style="31" min="6" max="6"/>
    <col width="46" customWidth="1" style="31" min="7" max="7"/>
    <col width="10" customWidth="1" style="31" min="8" max="10"/>
    <col width="55" customWidth="1" style="31" min="11" max="12"/>
  </cols>
  <sheetData>
    <row r="1" ht="27.75" customHeight="1" s="32">
      <c r="A1" s="56" t="inlineStr">
        <is>
          <t>ID</t>
        </is>
      </c>
      <c r="B1" s="56" t="inlineStr">
        <is>
          <t>Module</t>
        </is>
      </c>
      <c r="C1" s="56" t="inlineStr">
        <is>
          <t>Test case / Scenario</t>
        </is>
      </c>
      <c r="D1" s="56" t="inlineStr">
        <is>
          <t>Preconditions / Data</t>
        </is>
      </c>
      <c r="E1" s="56" t="inlineStr">
        <is>
          <t>Account required</t>
        </is>
      </c>
      <c r="F1" s="56" t="inlineStr">
        <is>
          <t>Steps</t>
        </is>
      </c>
      <c r="G1" s="56" t="inlineStr">
        <is>
          <t>Expected result</t>
        </is>
      </c>
      <c r="H1" s="56" t="inlineStr">
        <is>
          <t>Status</t>
        </is>
      </c>
      <c r="I1" s="56" t="inlineStr">
        <is>
          <t>Priority</t>
        </is>
      </c>
      <c r="J1" s="56" t="inlineStr">
        <is>
          <t>Severity</t>
        </is>
      </c>
      <c r="K1" s="56" t="inlineStr">
        <is>
          <t>Actual result</t>
        </is>
      </c>
      <c r="L1" s="56" t="inlineStr">
        <is>
          <t>Comments</t>
        </is>
      </c>
    </row>
    <row r="2" ht="46.25" customHeight="1" s="32">
      <c r="A2" s="57" t="inlineStr">
        <is>
          <t>SP-001</t>
        </is>
      </c>
      <c r="B2" s="57" t="inlineStr">
        <is>
          <t>Home / AgeGate</t>
        </is>
      </c>
      <c r="C2" s="57" t="inlineStr">
        <is>
          <t>19+ gate appears on first visit</t>
        </is>
      </c>
      <c r="D2" s="57" t="inlineStr">
        <is>
          <t>Cleared cache/localStorage</t>
        </is>
      </c>
      <c r="E2" s="57" t="inlineStr">
        <is>
          <t>—</t>
        </is>
      </c>
      <c r="F2" s="57" t="inlineStr">
        <is>
          <t>1. Open the site. 2. Observe the AgeGate overlay.</t>
        </is>
      </c>
      <c r="G2" s="57" t="inlineStr">
        <is>
          <t>Full-screen 'RESTRICTED · FIRONOVA' overlay + 19+ badge, confirm/exit buttons visible.</t>
        </is>
      </c>
      <c r="H2" s="58" t="inlineStr">
        <is>
          <t>Pass</t>
        </is>
      </c>
      <c r="I2" s="57" t="inlineStr">
        <is>
          <t>High</t>
        </is>
      </c>
      <c r="J2" s="57" t="inlineStr">
        <is>
          <t>Blocker</t>
        </is>
      </c>
      <c r="K2" s="59" t="inlineStr">
        <is>
          <t>Overlay 'RESTRICTED · FIRONOVA' + 19+ + boutons Confirmer/Quitter affichés (après suppression de fironova_age_confirmed).</t>
        </is>
      </c>
      <c r="L2" s="59" t="inlineStr">
        <is>
          <t>Le texte du gate est en FR seulement même si l'interface était en EN (ligne de bas bilingue). Flèche du bouton principal coincée contre le bord (cosmétique). [Claude (Cowork) — 27/09/2026]</t>
        </is>
      </c>
    </row>
    <row r="3" ht="23.85" customHeight="1" s="32">
      <c r="A3" s="57" t="inlineStr">
        <is>
          <t>SP-002</t>
        </is>
      </c>
      <c r="B3" s="57" t="inlineStr">
        <is>
          <t>Home / AgeGate</t>
        </is>
      </c>
      <c r="C3" s="57" t="inlineStr">
        <is>
          <t>Age confirmation accepted</t>
        </is>
      </c>
      <c r="D3" s="57" t="inlineStr">
        <is>
          <t>AgeGate displayed</t>
        </is>
      </c>
      <c r="E3" s="57" t="inlineStr">
        <is>
          <t>—</t>
        </is>
      </c>
      <c r="F3" s="57" t="inlineStr">
        <is>
          <t>1. Click 'I am 19+ / Enter'.</t>
        </is>
      </c>
      <c r="G3" s="57" t="inlineStr">
        <is>
          <t>Overlay disappears, site is accessible, scrolling restored.</t>
        </is>
      </c>
      <c r="H3" s="58" t="inlineStr">
        <is>
          <t>Pass</t>
        </is>
      </c>
      <c r="I3" s="57" t="inlineStr">
        <is>
          <t>High</t>
        </is>
      </c>
      <c r="J3" s="57" t="inlineStr">
        <is>
          <t>Blocker</t>
        </is>
      </c>
      <c r="K3" s="59" t="inlineStr">
        <is>
          <t>Clic 'J'ai 19 ans ou plus' : overlay disparaît, body overflow repasse à visible.</t>
        </is>
      </c>
      <c r="L3" s="59" t="inlineStr">
        <is>
          <t>[Claude (Cowork) — 27/09/2026]</t>
        </is>
      </c>
    </row>
    <row r="4" ht="46.25" customHeight="1" s="32">
      <c r="A4" s="57" t="inlineStr">
        <is>
          <t>SP-003</t>
        </is>
      </c>
      <c r="B4" s="57" t="inlineStr">
        <is>
          <t>Home / AgeGate</t>
        </is>
      </c>
      <c r="C4" s="57" t="inlineStr">
        <is>
          <t>Age refusal (exit)</t>
        </is>
      </c>
      <c r="D4" s="57" t="inlineStr">
        <is>
          <t>AgeGate displayed</t>
        </is>
      </c>
      <c r="E4" s="57" t="inlineStr">
        <is>
          <t>—</t>
        </is>
      </c>
      <c r="F4" s="57" t="inlineStr">
        <is>
          <t>1. Click 'Exit / Leave'.</t>
        </is>
      </c>
      <c r="G4" s="57" t="inlineStr">
        <is>
          <t>Terminal refusal screen (no back link), no site access.</t>
        </is>
      </c>
      <c r="H4" s="58" t="inlineStr">
        <is>
          <t>Pass</t>
        </is>
      </c>
      <c r="I4" s="57" t="inlineStr">
        <is>
          <t>High</t>
        </is>
      </c>
      <c r="J4" s="57" t="inlineStr">
        <is>
          <t>Major</t>
        </is>
      </c>
      <c r="K4" s="59" t="inlineStr">
        <is>
          <t>Écran 'Accès non disponible' sans lien de retour.</t>
        </is>
      </c>
      <c r="L4" s="59" t="inlineStr">
        <is>
          <t>Mais le site reste rendu dessous : Tab atteint les boutons du header (lang-toggle) derrière l'écran de refus. Aucun piège de focus. Rechargement = gate de nouveau (refus non mémorisé). [Claude (Cowork) — 27/09/2026]</t>
        </is>
      </c>
    </row>
    <row r="5" ht="35.05" customHeight="1" s="32">
      <c r="A5" s="57" t="inlineStr">
        <is>
          <t>SP-004</t>
        </is>
      </c>
      <c r="B5" s="57" t="inlineStr">
        <is>
          <t>Home / AgeGate</t>
        </is>
      </c>
      <c r="C5" s="57" t="inlineStr">
        <is>
          <t>AgeGate reappears on reload</t>
        </is>
      </c>
      <c r="D5" s="57" t="inlineStr">
        <is>
          <t>AgeGate confirmed then reload</t>
        </is>
      </c>
      <c r="E5" s="57" t="inlineStr">
        <is>
          <t>—</t>
        </is>
      </c>
      <c r="F5" s="57" t="inlineStr">
        <is>
          <t>1. Confirm age. 2. Reload (F5).</t>
        </is>
      </c>
      <c r="G5" s="57" t="inlineStr">
        <is>
          <t>AgeGate overlay shows again (not persisted).</t>
        </is>
      </c>
      <c r="H5" s="60" t="inlineStr">
        <is>
          <t>Fail</t>
        </is>
      </c>
      <c r="I5" s="57" t="inlineStr">
        <is>
          <t>Medium</t>
        </is>
      </c>
      <c r="J5" s="57" t="inlineStr">
        <is>
          <t>Minor</t>
        </is>
      </c>
      <c r="K5" s="59" t="inlineStr">
        <is>
          <t>Après confirmation, localStorage.fironova_age_confirmed='1' et le gate NE réapparaît PAS au rechargement.</t>
        </is>
      </c>
      <c r="L5" s="59" t="inlineStr">
        <is>
          <t>Contredit la règle 'not persisted'. Soit changer la règle, soit utiliser un état en mémoire/sessionStorage. [Claude (Cowork) — 27/09/2026]</t>
        </is>
      </c>
    </row>
    <row r="6" ht="23.85" customHeight="1" s="32">
      <c r="A6" s="57" t="inlineStr">
        <is>
          <t>SP-005</t>
        </is>
      </c>
      <c r="B6" s="57" t="inlineStr">
        <is>
          <t>Home / AgeGate</t>
        </is>
      </c>
      <c r="C6" s="57" t="inlineStr">
        <is>
          <t>Overlay blocks scrolling</t>
        </is>
      </c>
      <c r="D6" s="57" t="inlineStr">
        <is>
          <t>AgeGate displayed</t>
        </is>
      </c>
      <c r="E6" s="57" t="inlineStr">
        <is>
          <t>—</t>
        </is>
      </c>
      <c r="F6" s="57" t="inlineStr">
        <is>
          <t>1. Try to scroll under the overlay.</t>
        </is>
      </c>
      <c r="G6" s="57" t="inlineStr">
        <is>
          <t>Background page does not scroll while the question is pending.</t>
        </is>
      </c>
      <c r="H6" s="60" t="inlineStr">
        <is>
          <t>Fail</t>
        </is>
      </c>
      <c r="I6" s="57" t="inlineStr">
        <is>
          <t>Low</t>
        </is>
      </c>
      <c r="J6" s="57" t="inlineStr">
        <is>
          <t>Minor</t>
        </is>
      </c>
      <c r="K6" s="59" t="inlineStr">
        <is>
          <t>Gate affiché : body overflow=hidden mais &lt;html&gt; défile quand même (scrollY 0 → 500 à la molette).</t>
        </is>
      </c>
      <c r="L6" s="59" t="inlineStr">
        <is>
          <t>Mettre overflow:hidden sur html aussi (ou position:fixed sur body). [Claude (Cowork) — 27/09/2026]</t>
        </is>
      </c>
    </row>
    <row r="7" ht="46.25" customHeight="1" s="32">
      <c r="A7" s="57" t="inlineStr">
        <is>
          <t>SP-006</t>
        </is>
      </c>
      <c r="B7" s="57" t="inlineStr">
        <is>
          <t>Navigation</t>
        </is>
      </c>
      <c r="C7" s="57" t="inlineStr">
        <is>
          <t>Compliance band at the top</t>
        </is>
      </c>
      <c r="D7" s="57" t="inlineStr">
        <is>
          <t>Site loaded</t>
        </is>
      </c>
      <c r="E7" s="57" t="inlineStr">
        <is>
          <t>—</t>
        </is>
      </c>
      <c r="F7" s="57" t="inlineStr">
        <is>
          <t>1. Observe the top bar (above header).</t>
        </is>
      </c>
      <c r="G7" s="57" t="inlineStr">
        <is>
          <t>Bilingual compliance band ('research use only', 19+) visible.</t>
        </is>
      </c>
      <c r="H7" s="58" t="inlineStr">
        <is>
          <t>Pass</t>
        </is>
      </c>
      <c r="I7" s="57" t="inlineStr">
        <is>
          <t>High</t>
        </is>
      </c>
      <c r="J7" s="57" t="inlineStr">
        <is>
          <t>Major</t>
        </is>
      </c>
      <c r="K7" s="59" t="inlineStr">
        <is>
          <t>Bandeau de conformité présent au-dessus du header, traduit selon la langue (FR : 'Usage en laboratoire uniquement · … · 19+ seulement' / EN : 'For laboratory research use only · … · 19+ only').</t>
        </is>
      </c>
      <c r="L7" s="59" t="inlineStr">
        <is>
          <t>[Claude (Cowork) — 27/09/2026]</t>
        </is>
      </c>
    </row>
    <row r="8" ht="35.05" customHeight="1" s="32">
      <c r="A8" s="57" t="inlineStr">
        <is>
          <t>SP-007</t>
        </is>
      </c>
      <c r="B8" s="57" t="inlineStr">
        <is>
          <t>Navigation</t>
        </is>
      </c>
      <c r="C8" s="57" t="inlineStr">
        <is>
          <t>Main menu (header)</t>
        </is>
      </c>
      <c r="D8" s="57" t="inlineStr">
        <is>
          <t>Site loaded</t>
        </is>
      </c>
      <c r="E8" s="57" t="inlineStr">
        <is>
          <t>—</t>
        </is>
      </c>
      <c r="F8" s="57" t="inlineStr">
        <is>
          <t>1. Check menu items: Catalog, About, (Lab if enabled).</t>
        </is>
      </c>
      <c r="G8" s="57" t="inlineStr">
        <is>
          <t>Links present and working to /catalog, /about (and /lab if COA_PAGE_ENABLED).</t>
        </is>
      </c>
      <c r="H8" s="60" t="inlineStr">
        <is>
          <t>Fail</t>
        </is>
      </c>
      <c r="I8" s="57" t="inlineStr">
        <is>
          <t>High</t>
        </is>
      </c>
      <c r="J8" s="57" t="inlineStr">
        <is>
          <t>Major</t>
        </is>
      </c>
      <c r="K8" s="59" t="inlineStr">
        <is>
          <t>Header : seulement 'Catalogue' (+ OPS, langue, panier, menu). Menu burger : Catalogue, OPS, Connexion. Aucun lien vers /about dans le header, le menu ni le footer.</t>
        </is>
      </c>
      <c r="L8" s="59" t="inlineStr">
        <is>
          <t>/about n'est accessible que via le bouton 'Nos standards' de l'accueil. /lab redirige vers l'accueil (flag désactivé). [Claude (Cowork) — 27/09/2026]</t>
        </is>
      </c>
    </row>
    <row r="9" ht="35.05" customHeight="1" s="32">
      <c r="A9" s="57" t="inlineStr">
        <is>
          <t>SP-008</t>
        </is>
      </c>
      <c r="B9" s="57" t="inlineStr">
        <is>
          <t>Navigation</t>
        </is>
      </c>
      <c r="C9" s="57" t="inlineStr">
        <is>
          <t>FR ↔ EN language toggle</t>
        </is>
      </c>
      <c r="D9" s="57" t="inlineStr">
        <is>
          <t>Site loaded</t>
        </is>
      </c>
      <c r="E9" s="57" t="inlineStr">
        <is>
          <t>—</t>
        </is>
      </c>
      <c r="F9" s="57" t="inlineStr">
        <is>
          <t>1. Click the language selector. 2. Check page content.</t>
        </is>
      </c>
      <c r="G9" s="57" t="inlineStr">
        <is>
          <t>Whole UI switches to English and back to French without hard reload.</t>
        </is>
      </c>
      <c r="H9" s="58" t="inlineStr">
        <is>
          <t>Pass</t>
        </is>
      </c>
      <c r="I9" s="57" t="inlineStr">
        <is>
          <t>High</t>
        </is>
      </c>
      <c r="J9" s="57" t="inlineStr">
        <is>
          <t>Major</t>
        </is>
      </c>
      <c r="K9" s="59" t="inlineStr">
        <is>
          <t>Bascule FR↔EN sans rechargement (marqueur JS conservé), lang du &lt;html&gt; mis à jour, aucun texte FR résiduel en EN sur 15 routes.</t>
        </is>
      </c>
      <c r="L9" s="59" t="inlineStr">
        <is>
          <t>[Claude (Cowork) — 27/09/2026]</t>
        </is>
      </c>
    </row>
    <row r="10" ht="23.85" customHeight="1" s="32">
      <c r="A10" s="57" t="inlineStr">
        <is>
          <t>SP-009</t>
        </is>
      </c>
      <c r="B10" s="57" t="inlineStr">
        <is>
          <t>Navigation</t>
        </is>
      </c>
      <c r="C10" s="57" t="inlineStr">
        <is>
          <t>Footer link → Terms &amp; Conditions</t>
        </is>
      </c>
      <c r="D10" s="57" t="inlineStr">
        <is>
          <t>Site loaded</t>
        </is>
      </c>
      <c r="E10" s="57" t="inlineStr">
        <is>
          <t>—</t>
        </is>
      </c>
      <c r="F10" s="57" t="inlineStr">
        <is>
          <t>1. Scroll to footer. 2. 'Information' → 'Terms &amp; Conditions'.</t>
        </is>
      </c>
      <c r="G10" s="57" t="inlineStr">
        <is>
          <t>Opens /compliance; 'Compliance/Legal' wording absent from top menu.</t>
        </is>
      </c>
      <c r="H10" s="58" t="inlineStr">
        <is>
          <t>Pass</t>
        </is>
      </c>
      <c r="I10" s="57" t="inlineStr">
        <is>
          <t>Medium</t>
        </is>
      </c>
      <c r="J10" s="57" t="inlineStr">
        <is>
          <t>Minor</t>
        </is>
      </c>
      <c r="K10" s="59" t="inlineStr">
        <is>
          <t>Footer 'Légal' → 'Conditions' ouvre /compliance ; aucun libellé Compliance/Legal dans le menu du haut.</t>
        </is>
      </c>
      <c r="L10" s="59" t="inlineStr">
        <is>
          <t>La rubrique du footer s'appelle 'LÉGAL' et non 'Information' comme dans le plan. [Claude (Cowork) — 27/09/2026]</t>
        </is>
      </c>
    </row>
    <row r="11" ht="23.85" customHeight="1" s="32">
      <c r="A11" s="57" t="inlineStr">
        <is>
          <t>SP-010</t>
        </is>
      </c>
      <c r="B11" s="57" t="inlineStr">
        <is>
          <t>Navigation</t>
        </is>
      </c>
      <c r="C11" s="57" t="inlineStr">
        <is>
          <t>Footer pages (Privacy, FAQ)</t>
        </is>
      </c>
      <c r="D11" s="57" t="inlineStr">
        <is>
          <t>Site loaded</t>
        </is>
      </c>
      <c r="E11" s="57" t="inlineStr">
        <is>
          <t>—</t>
        </is>
      </c>
      <c r="F11" s="57" t="inlineStr">
        <is>
          <t>1. Open 'Privacy Policy'. 2. Open 'FAQ'.</t>
        </is>
      </c>
      <c r="G11" s="57" t="inlineStr">
        <is>
          <t>/privacy and /faq load correctly, bilingual, no 404.</t>
        </is>
      </c>
      <c r="H11" s="58" t="inlineStr">
        <is>
          <t>Pass</t>
        </is>
      </c>
      <c r="I11" s="57" t="inlineStr">
        <is>
          <t>Medium</t>
        </is>
      </c>
      <c r="J11" s="57" t="inlineStr">
        <is>
          <t>Minor</t>
        </is>
      </c>
      <c r="K11" s="59" t="inlineStr">
        <is>
          <t>/privacy et /faq chargent, en FR et EN, sans 404.</t>
        </is>
      </c>
      <c r="L11" s="59" t="inlineStr">
        <is>
          <t>[Claude (Cowork) — 27/09/2026]</t>
        </is>
      </c>
    </row>
    <row r="12" ht="23.85" customHeight="1" s="32">
      <c r="A12" s="57" t="inlineStr">
        <is>
          <t>SP-011</t>
        </is>
      </c>
      <c r="B12" s="57" t="inlineStr">
        <is>
          <t>Navigation</t>
        </is>
      </c>
      <c r="C12" s="57" t="inlineStr">
        <is>
          <t>Dark mode (account &amp; admin)</t>
        </is>
      </c>
      <c r="D12" s="57" t="inlineStr">
        <is>
          <t>Logged-in user</t>
        </is>
      </c>
      <c r="E12" s="57" t="inlineStr">
        <is>
          <t>Client1</t>
        </is>
      </c>
      <c r="F12" s="57" t="inlineStr">
        <is>
          <t>1. Log in. 2. Toggle theme.</t>
        </is>
      </c>
      <c r="G12" s="57" t="inlineStr">
        <is>
          <t>Night mode applies to /account and admin (not the public store). Readable contrast.</t>
        </is>
      </c>
      <c r="H12" s="59" t="inlineStr">
        <is>
          <t>To test</t>
        </is>
      </c>
      <c r="I12" s="57" t="inlineStr">
        <is>
          <t>Low</t>
        </is>
      </c>
      <c r="J12" s="57" t="inlineStr">
        <is>
          <t>Minor</t>
        </is>
      </c>
      <c r="K12" s="57" t="n"/>
      <c r="L12" s="57" t="n"/>
    </row>
    <row r="13" ht="35.05" customHeight="1" s="32">
      <c r="A13" s="57" t="inlineStr">
        <is>
          <t>SP-012</t>
        </is>
      </c>
      <c r="B13" s="57" t="inlineStr">
        <is>
          <t>Navigation</t>
        </is>
      </c>
      <c r="C13" s="57" t="inlineStr">
        <is>
          <t>Cookie consent banner</t>
        </is>
      </c>
      <c r="D13" s="57" t="inlineStr">
        <is>
          <t>Cleared cache</t>
        </is>
      </c>
      <c r="E13" s="57" t="inlineStr">
        <is>
          <t>—</t>
        </is>
      </c>
      <c r="F13" s="57" t="inlineStr">
        <is>
          <t>1. Open the site. 2. Observe cookie banner.</t>
        </is>
      </c>
      <c r="G13" s="57" t="inlineStr">
        <is>
          <t>Consent banner visible and actionable (accept/decline).</t>
        </is>
      </c>
      <c r="H13" s="60" t="inlineStr">
        <is>
          <t>Fail</t>
        </is>
      </c>
      <c r="I13" s="57" t="inlineStr">
        <is>
          <t>Low</t>
        </is>
      </c>
      <c r="J13" s="57" t="inlineStr">
        <is>
          <t>Minor</t>
        </is>
      </c>
      <c r="K13" s="59" t="inlineStr">
        <is>
          <t>Aucune bannière de consentement aux cookies, même après effacement de l'état. Aucun texte 'cookie/témoin' sur le site.</t>
        </is>
      </c>
      <c r="L13" s="59" t="inlineStr">
        <is>
          <t>Si le site n'utilise que des cookies essentiels, documenter ce choix et passer le test en N/A. Sinon, bannière requise (Loi 25). [Claude (Cowork) — 27/09/2026]</t>
        </is>
      </c>
    </row>
    <row r="14" ht="23.85" customHeight="1" s="32">
      <c r="A14" s="57" t="inlineStr">
        <is>
          <t>SP-013</t>
        </is>
      </c>
      <c r="B14" s="57" t="inlineStr">
        <is>
          <t>Navigation</t>
        </is>
      </c>
      <c r="C14" s="57" t="inlineStr">
        <is>
          <t>404 page (unknown route)</t>
        </is>
      </c>
      <c r="D14" s="57" t="inlineStr">
        <is>
          <t>Site loaded</t>
        </is>
      </c>
      <c r="E14" s="57" t="inlineStr">
        <is>
          <t>—</t>
        </is>
      </c>
      <c r="F14" s="57" t="inlineStr">
        <is>
          <t>1. Navigate to a non-existent URL (/xyz).</t>
        </is>
      </c>
      <c r="G14" s="57" t="inlineStr">
        <is>
          <t>Clean 'NotFound' page, no blocking console errors, link back home.</t>
        </is>
      </c>
      <c r="H14" s="58" t="inlineStr">
        <is>
          <t>Pass</t>
        </is>
      </c>
      <c r="I14" s="57" t="inlineStr">
        <is>
          <t>Low</t>
        </is>
      </c>
      <c r="J14" s="57" t="inlineStr">
        <is>
          <t>Minor</t>
        </is>
      </c>
      <c r="K14" s="59" t="inlineStr">
        <is>
          <t>/page-inexistante : page '// 404 · Page not found' + bouton Home, aucune erreur console.</t>
        </is>
      </c>
      <c r="L14" s="59" t="inlineStr">
        <is>
          <t>[Claude (Cowork) — 27/09/2026]</t>
        </is>
      </c>
    </row>
    <row r="15" ht="46.25" customHeight="1" s="32">
      <c r="A15" s="57" t="inlineStr">
        <is>
          <t>SP-014</t>
        </is>
      </c>
      <c r="B15" s="57" t="inlineStr">
        <is>
          <t>Navigation</t>
        </is>
      </c>
      <c r="C15" s="57" t="inlineStr">
        <is>
          <t>ADMIN button in header</t>
        </is>
      </c>
      <c r="D15" s="57" t="inlineStr">
        <is>
          <t>Site loaded, logged out</t>
        </is>
      </c>
      <c r="E15" s="57" t="inlineStr">
        <is>
          <t>—</t>
        </is>
      </c>
      <c r="F15" s="57" t="inlineStr">
        <is>
          <t>1. Click ADMIN.</t>
        </is>
      </c>
      <c r="G15" s="57" t="inlineStr">
        <is>
          <t>Redirects to /login?next=... (admin stays protected).</t>
        </is>
      </c>
      <c r="H15" s="60" t="inlineStr">
        <is>
          <t>Fail</t>
        </is>
      </c>
      <c r="I15" s="57" t="inlineStr">
        <is>
          <t>Medium</t>
        </is>
      </c>
      <c r="J15" s="57" t="inlineStr">
        <is>
          <t>Major</t>
        </is>
      </c>
      <c r="K15" s="59" t="inlineStr">
        <is>
          <t>Déconnecté, clic sur OPS → /login?next=%2Fops-portal-fn7k2q (écran 'Fironova OPS'). L'admin reste protégé.</t>
        </is>
      </c>
      <c r="L15" s="59" t="inlineStr">
        <is>
          <t>Le bouton OPS est visible par tous les visiteurs ET l'URL de redirection révèle le chemin secret /ops-portal-fn7k2q. Masquer le bouton aux non-admins et ne pas mettre le chemin dans ?next=. [Claude (Cowork) — 27/09/2026]</t>
        </is>
      </c>
    </row>
  </sheetData>
  <autoFilter ref="A1:L15"/>
  <dataValidations count="1">
    <dataValidation sqref="H2:H65"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3E5C76"/>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1" min="1" max="2"/>
    <col width="28" customWidth="1" style="31" min="3" max="3"/>
    <col width="31" customWidth="1" style="31" min="4" max="4"/>
    <col width="12" customWidth="1" style="31" min="5" max="5"/>
    <col width="46" customWidth="1" style="31" min="6" max="7"/>
    <col width="10" customWidth="1" style="31" min="8" max="10"/>
    <col width="55" customWidth="1" style="31" min="11" max="12"/>
  </cols>
  <sheetData>
    <row r="1" ht="27.75" customHeight="1" s="32">
      <c r="A1" s="56" t="inlineStr">
        <is>
          <t>ID</t>
        </is>
      </c>
      <c r="B1" s="56" t="inlineStr">
        <is>
          <t>Module</t>
        </is>
      </c>
      <c r="C1" s="56" t="inlineStr">
        <is>
          <t>Test case / Scenario</t>
        </is>
      </c>
      <c r="D1" s="56" t="inlineStr">
        <is>
          <t>Preconditions / Data</t>
        </is>
      </c>
      <c r="E1" s="56" t="inlineStr">
        <is>
          <t>Account required</t>
        </is>
      </c>
      <c r="F1" s="56" t="inlineStr">
        <is>
          <t>Steps</t>
        </is>
      </c>
      <c r="G1" s="56" t="inlineStr">
        <is>
          <t>Expected result</t>
        </is>
      </c>
      <c r="H1" s="56" t="inlineStr">
        <is>
          <t>Status</t>
        </is>
      </c>
      <c r="I1" s="56" t="inlineStr">
        <is>
          <t>Priority</t>
        </is>
      </c>
      <c r="J1" s="56" t="inlineStr">
        <is>
          <t>Severity</t>
        </is>
      </c>
      <c r="K1" s="56" t="inlineStr">
        <is>
          <t>Actual result</t>
        </is>
      </c>
      <c r="L1" s="56" t="inlineStr">
        <is>
          <t>Comments</t>
        </is>
      </c>
    </row>
    <row r="2" ht="46.25" customHeight="1" s="32">
      <c r="A2" s="57" t="inlineStr">
        <is>
          <t>CA-001</t>
        </is>
      </c>
      <c r="B2" s="57" t="inlineStr">
        <is>
          <t>Catalog</t>
        </is>
      </c>
      <c r="C2" s="57" t="inlineStr">
        <is>
          <t>Product listing</t>
        </is>
      </c>
      <c r="D2" s="57" t="inlineStr">
        <is>
          <t>Seeded products</t>
        </is>
      </c>
      <c r="E2" s="57" t="inlineStr">
        <is>
          <t>—</t>
        </is>
      </c>
      <c r="F2" s="57" t="inlineStr">
        <is>
          <t>1. Open /catalog.</t>
        </is>
      </c>
      <c r="G2" s="57" t="inlineStr">
        <is>
          <t>All products displayed (image, name, price, stock status).</t>
        </is>
      </c>
      <c r="H2" s="58" t="inlineStr">
        <is>
          <t>Pass</t>
        </is>
      </c>
      <c r="I2" s="57" t="inlineStr">
        <is>
          <t>High</t>
        </is>
      </c>
      <c r="J2" s="57" t="inlineStr">
        <is>
          <t>Blocker</t>
        </is>
      </c>
      <c r="K2" s="59" t="inlineStr">
        <is>
          <t>/catalog : 12 produits avec image, nom, prix, statut de stock et bouton d'ajout.</t>
        </is>
      </c>
      <c r="L2" s="59" t="inlineStr">
        <is>
          <t>Carte BPC-157 : badge 'PRÉCOMMANDE' ET 'EN STOCK' à la fois (5 mg en stock, 10 mg en précommande) : c'est ambigu. 'DÈS' est placé après le prix. [Claude (Cowork) — 27/09/2026]</t>
        </is>
      </c>
    </row>
    <row r="3" ht="46.25" customHeight="1" s="32">
      <c r="A3" s="57" t="inlineStr">
        <is>
          <t>CA-002</t>
        </is>
      </c>
      <c r="B3" s="57" t="inlineStr">
        <is>
          <t>Catalog</t>
        </is>
      </c>
      <c r="C3" s="57" t="inlineStr">
        <is>
          <t>'Featured' filter / featured compounds</t>
        </is>
      </c>
      <c r="D3" s="57" t="inlineStr">
        <is>
          <t>6 'featured' products seeded</t>
        </is>
      </c>
      <c r="E3" s="57" t="inlineStr">
        <is>
          <t>—</t>
        </is>
      </c>
      <c r="F3" s="57" t="inlineStr">
        <is>
          <t>1. Home → 'Featured Compounds' section.</t>
        </is>
      </c>
      <c r="G3" s="57" t="inlineStr">
        <is>
          <t>2 columns on mobile, 3 on small screens, 4 on large (gap-3 / sm:gap-5 / lg:gap-6).</t>
        </is>
      </c>
      <c r="H3" s="58" t="inlineStr">
        <is>
          <t>Pass</t>
        </is>
      </c>
      <c r="I3" s="57" t="inlineStr">
        <is>
          <t>Medium</t>
        </is>
      </c>
      <c r="J3" s="57" t="inlineStr">
        <is>
          <t>Major</t>
        </is>
      </c>
      <c r="K3" s="59" t="inlineStr">
        <is>
          <t>Grille : 2 col/12px à 360px, 3 col/20px à 768px, 4 col/24px à 1280 et 1600px (conforme gap-3/sm:gap-5/lg:gap-6).</t>
        </is>
      </c>
      <c r="L3" s="59" t="inlineStr">
        <is>
          <t>L'accueil n'affiche que 4 produits vedettes alors que 6 sont marqués featured (Sémaglutide et Tirzépatide absents). La 3e carte (GHK-Cu) utilise une photo générique au lieu du flacon Fironova. [Claude (Cowork) — 27/09/2026]</t>
        </is>
      </c>
    </row>
    <row r="4" ht="35.05" customHeight="1" s="32">
      <c r="A4" s="57" t="inlineStr">
        <is>
          <t>CA-003</t>
        </is>
      </c>
      <c r="B4" s="57" t="inlineStr">
        <is>
          <t>Catalog</t>
        </is>
      </c>
      <c r="C4" s="57" t="inlineStr">
        <is>
          <t>Product search / sort</t>
        </is>
      </c>
      <c r="D4" s="57" t="inlineStr">
        <is>
          <t>Catalog loaded</t>
        </is>
      </c>
      <c r="E4" s="57" t="inlineStr">
        <is>
          <t>—</t>
        </is>
      </c>
      <c r="F4" s="57" t="inlineStr">
        <is>
          <t>1. Use search and sort (price, name).</t>
        </is>
      </c>
      <c r="G4" s="57" t="inlineStr">
        <is>
          <t>Results filter/sort correctly, no errors.</t>
        </is>
      </c>
      <c r="H4" s="60" t="inlineStr">
        <is>
          <t>Fail</t>
        </is>
      </c>
      <c r="I4" s="57" t="inlineStr">
        <is>
          <t>Medium</t>
        </is>
      </c>
      <c r="J4" s="57" t="inlineStr">
        <is>
          <t>Minor</t>
        </is>
      </c>
      <c r="K4" s="59" t="inlineStr">
        <is>
          <t>Recherche OK ('tirz' → Tirzépatide, 'semaglutide' sans accent OK, 'zzzz' → message 'Aucun résultat'). Tri Nom et Prix ↓ OK.</t>
        </is>
      </c>
      <c r="L4" s="59" t="inlineStr">
        <is>
          <t>Tri Prix ↑ ignore le prix promo : GHK-Cu (promo 30 $) classé après Mélanotan II (44,99 $), trié sur 49,99 $. [Claude (Cowork) — 27/09/2026]</t>
        </is>
      </c>
    </row>
    <row r="5" ht="57.45" customHeight="1" s="32">
      <c r="A5" s="57" t="inlineStr">
        <is>
          <t>CA-004</t>
        </is>
      </c>
      <c r="B5" s="57" t="inlineStr">
        <is>
          <t>Product page</t>
        </is>
      </c>
      <c r="C5" s="57" t="inlineStr">
        <is>
          <t>Access product page</t>
        </is>
      </c>
      <c r="D5" s="57" t="inlineStr">
        <is>
          <t>Existing product</t>
        </is>
      </c>
      <c r="E5" s="57" t="inlineStr">
        <is>
          <t>—</t>
        </is>
      </c>
      <c r="F5" s="57" t="inlineStr">
        <is>
          <t>1. Click a product.</t>
        </is>
      </c>
      <c r="G5" s="57" t="inlineStr">
        <is>
          <t>Opens /product/:slug with name, price, images, add-to-cart button.</t>
        </is>
      </c>
      <c r="H5" s="58" t="inlineStr">
        <is>
          <t>Pass</t>
        </is>
      </c>
      <c r="I5" s="57" t="inlineStr">
        <is>
          <t>High</t>
        </is>
      </c>
      <c r="J5" s="57" t="inlineStr">
        <is>
          <t>Blocker</t>
        </is>
      </c>
      <c r="K5" s="59" t="inlineStr">
        <is>
          <t>/product/bpc-157-5mg : nom, prix, images, fiche technique, bouton d'ajout.</t>
        </is>
      </c>
      <c r="L5" s="59" t="inlineStr">
        <is>
          <t>Les produits suggérés ('Souvent recherché avec') affichent le prix normal, sans la promo (Tirzépatide 259,99 $ au lieu de 200 $). SKU du 5 mg dans les données = 'BPC-157-5MG5' (faute de frappe probable). [Claude (Cowork) — 27/09/2026]</t>
        </is>
      </c>
    </row>
    <row r="6" ht="46.25" customHeight="1" s="32">
      <c r="A6" s="57" t="inlineStr">
        <is>
          <t>CA-005</t>
        </is>
      </c>
      <c r="B6" s="57" t="inlineStr">
        <is>
          <t>Product page</t>
        </is>
      </c>
      <c r="C6" s="57" t="inlineStr">
        <is>
          <t>Certificate of analysis (COA) on the product page</t>
        </is>
      </c>
      <c r="D6" s="57" t="inlineStr">
        <is>
          <t>Product with coa_url</t>
        </is>
      </c>
      <c r="E6" s="57" t="inlineStr">
        <is>
          <t>—</t>
        </is>
      </c>
      <c r="F6" s="57" t="inlineStr">
        <is>
          <t>1. Open a product with an available COA. 2. Find the download button under the price.</t>
        </is>
      </c>
      <c r="G6" s="57" t="inlineStr">
        <is>
          <t>COA available: 'Certificate of analysis / Lab report' button (PDF link). COA pending: 'COA to come' notice. No badge under the photo.</t>
        </is>
      </c>
      <c r="H6" s="58" t="inlineStr">
        <is>
          <t>Pass</t>
        </is>
      </c>
      <c r="I6" s="57" t="inlineStr">
        <is>
          <t>Medium</t>
        </is>
      </c>
      <c r="J6" s="57" t="inlineStr">
        <is>
          <t>Minor</t>
        </is>
      </c>
      <c r="K6" s="59" t="inlineStr">
        <is>
          <t>5 mg : bouton 'Télécharger le COA / rapport' sous le prix. 10 mg : mention 'COA à venir' + encadré explicatif. Aucun badge sous la photo.</t>
        </is>
      </c>
      <c r="L6" s="59" t="inlineStr">
        <is>
          <t>Les URL de COA sont des liens tiers de test : BPC-157 → visionneuse PDF de digital-media.fao.org, GHK-Cu → peptidetestcanada.ca/verify. À remplacer par les vrais PDF. 'Lot actuel' affiche '-'. [Claude (Cowork) — 27/09/2026]</t>
        </is>
      </c>
    </row>
    <row r="7" ht="46.25" customHeight="1" s="32">
      <c r="A7" s="57" t="inlineStr">
        <is>
          <t>CA-006</t>
        </is>
      </c>
      <c r="B7" s="57" t="inlineStr">
        <is>
          <t>Product page</t>
        </is>
      </c>
      <c r="C7" s="57" t="inlineStr">
        <is>
          <t>Pre-order badge &amp; flow</t>
        </is>
      </c>
      <c r="D7" s="57" t="inlineStr">
        <is>
          <t>Out-of-stock VARIANT with pre-order (preorder_enabled)</t>
        </is>
      </c>
      <c r="E7" s="57" t="inlineStr">
        <is>
          <t>—</t>
        </is>
      </c>
      <c r="F7" s="57" t="inlineStr">
        <is>
          <t>1. Open an out-of-stock product allowed for pre-order.</t>
        </is>
      </c>
      <c r="G7" s="57" t="inlineStr">
        <is>
          <t>'Pre-order' badge shown, add-to-cart possible without decrementing stock below 0.</t>
        </is>
      </c>
      <c r="H7" s="58" t="inlineStr">
        <is>
          <t>Pass</t>
        </is>
      </c>
      <c r="I7" s="57" t="inlineStr">
        <is>
          <t>Medium</t>
        </is>
      </c>
      <c r="J7" s="57" t="inlineStr">
        <is>
          <t>Major</t>
        </is>
      </c>
      <c r="K7" s="59" t="inlineStr">
        <is>
          <t>BPC-157 10 mg (stock 0, preorder_enabled) : 'Précommande · Rupture', bouton 'PRÉCOMMANDE · $85.00', ajout au panier possible.</t>
        </is>
      </c>
      <c r="L7" s="59" t="inlineStr">
        <is>
          <t>Libellé contradictoire 'Précommande · Rupture'. Décrément du stock à vérifier après commande (voir PM). La mention précommande n'apparaît pas dans le panier ni dans le résumé du checkout. [Claude (Cowork) — 27/09/2026]</t>
        </is>
      </c>
    </row>
    <row r="8" ht="23.85" customHeight="1" s="32">
      <c r="A8" s="57" t="inlineStr">
        <is>
          <t>CA-007</t>
        </is>
      </c>
      <c r="B8" s="57" t="inlineStr">
        <is>
          <t>Product page</t>
        </is>
      </c>
      <c r="C8" s="57" t="inlineStr">
        <is>
          <t>Out-of-stock — add disabled</t>
        </is>
      </c>
      <c r="D8" s="57" t="inlineStr">
        <is>
          <t>Out-of-stock product, no pre-order</t>
        </is>
      </c>
      <c r="E8" s="57" t="inlineStr">
        <is>
          <t>—</t>
        </is>
      </c>
      <c r="F8" s="57" t="inlineStr">
        <is>
          <t>1. Open the product.</t>
        </is>
      </c>
      <c r="G8" s="57" t="inlineStr">
        <is>
          <t>'Add to cart' button disabled.</t>
        </is>
      </c>
      <c r="H8" s="61" t="inlineStr">
        <is>
          <t>Blocked</t>
        </is>
      </c>
      <c r="I8" s="57" t="inlineStr">
        <is>
          <t>High</t>
        </is>
      </c>
      <c r="J8" s="57" t="inlineStr">
        <is>
          <t>Major</t>
        </is>
      </c>
      <c r="K8" s="59" t="inlineStr">
        <is>
          <t>Aucun produit en rupture sans précommande dans les données actuelles.</t>
        </is>
      </c>
      <c r="L8" s="59" t="inlineStr">
        <is>
          <t>À créer en admin (stock 0, preorder désactivé) pour tester. [Claude (Cowork) — 27/09/2026]</t>
        </is>
      </c>
    </row>
    <row r="9" ht="57.45" customHeight="1" s="32">
      <c r="A9" s="57" t="inlineStr">
        <is>
          <t>CA-008</t>
        </is>
      </c>
      <c r="B9" s="57" t="inlineStr">
        <is>
          <t>Product page</t>
        </is>
      </c>
      <c r="C9" s="57" t="inlineStr">
        <is>
          <t>Stock indicator (low/out)</t>
        </is>
      </c>
      <c r="D9" s="57" t="inlineStr">
        <is>
          <t>Products with thresholds</t>
        </is>
      </c>
      <c r="E9" s="57" t="inlineStr">
        <is>
          <t>—</t>
        </is>
      </c>
      <c r="F9" s="57" t="inlineStr">
        <is>
          <t>1. Open several products.</t>
        </is>
      </c>
      <c r="G9" s="57" t="inlineStr">
        <is>
          <t>Low-stock / out / numeric indicators consistent with real stock.</t>
        </is>
      </c>
      <c r="H9" s="60" t="inlineStr">
        <is>
          <t>Fail</t>
        </is>
      </c>
      <c r="I9" s="57" t="inlineStr">
        <is>
          <t>Medium</t>
        </is>
      </c>
      <c r="J9" s="57" t="inlineStr">
        <is>
          <t>Minor</t>
        </is>
      </c>
      <c r="K9" s="59" t="inlineStr">
        <is>
          <t>Toutes les fiches affichent seulement 'EN STOCK' (aucun indicateur de stock bas ou numérique). Le stock produit ne correspond pas à la somme des variantes : Épitalon 85 vs 59, CJC-1295 100 vs 96, BPC-157 58 vs 56, Ipamoréline 147 vs 148.</t>
        </is>
      </c>
      <c r="L9" s="59" t="inlineStr">
        <is>
          <t>Le champ stock au niveau produit n'est pas synchronisé avec les variantes. [Claude (Cowork) — 27/09/2026]</t>
        </is>
      </c>
    </row>
    <row r="10" ht="35.05" customHeight="1" s="32">
      <c r="A10" s="57" t="inlineStr">
        <is>
          <t>CA-009</t>
        </is>
      </c>
      <c r="B10" s="57" t="inlineStr">
        <is>
          <t>Product page</t>
        </is>
      </c>
      <c r="C10" s="57" t="inlineStr">
        <is>
          <t>Variant selection (5mg/10mg…)</t>
        </is>
      </c>
      <c r="D10" s="57" t="inlineStr">
        <is>
          <t>Product with variants</t>
        </is>
      </c>
      <c r="E10" s="57" t="inlineStr">
        <is>
          <t>—</t>
        </is>
      </c>
      <c r="F10" s="57" t="inlineStr">
        <is>
          <t>1. Change variant.</t>
        </is>
      </c>
      <c r="G10" s="57" t="inlineStr">
        <is>
          <t>Price and stock update according to the selected variant.</t>
        </is>
      </c>
      <c r="H10" s="58" t="inlineStr">
        <is>
          <t>Pass</t>
        </is>
      </c>
      <c r="I10" s="57" t="inlineStr">
        <is>
          <t>Medium</t>
        </is>
      </c>
      <c r="J10" s="57" t="inlineStr">
        <is>
          <t>Major</t>
        </is>
      </c>
      <c r="K10" s="59" t="inlineStr">
        <is>
          <t>Passage 5 mg → 10 mg : prix (64,99 → 85,00 $ avec prix barré 100 $), SKU (BPC-157-10MG) et statut (précommande) mis à jour.</t>
        </is>
      </c>
      <c r="L10" s="59" t="inlineStr">
        <is>
          <t>Format '5.0mg' / '10.0mg' (décimale inutile). [Claude (Cowork) — 27/09/2026]</t>
        </is>
      </c>
    </row>
  </sheetData>
  <autoFilter ref="A1:L10"/>
  <dataValidations count="1">
    <dataValidation sqref="H2:H60"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3E5C76"/>
    <outlinePr summaryBelow="1" summaryRight="1"/>
    <pageSetUpPr fitToPage="0"/>
  </sheetPr>
  <dimension ref="A1:L2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1" min="1" max="2"/>
    <col width="26" customWidth="1" style="31" min="3" max="3"/>
    <col width="21" customWidth="1" style="31" min="4" max="4"/>
    <col width="12" customWidth="1" style="31" min="5" max="5"/>
    <col width="39" customWidth="1" style="31" min="6" max="6"/>
    <col width="46" customWidth="1" style="31" min="7" max="7"/>
    <col width="10" customWidth="1" style="31" min="8" max="10"/>
    <col width="55" customWidth="1" style="31" min="11" max="12"/>
  </cols>
  <sheetData>
    <row r="1" ht="27.75" customHeight="1" s="32">
      <c r="A1" s="56" t="inlineStr">
        <is>
          <t>ID</t>
        </is>
      </c>
      <c r="B1" s="56" t="inlineStr">
        <is>
          <t>Module</t>
        </is>
      </c>
      <c r="C1" s="56" t="inlineStr">
        <is>
          <t>Test case / Scenario</t>
        </is>
      </c>
      <c r="D1" s="56" t="inlineStr">
        <is>
          <t>Preconditions / Data</t>
        </is>
      </c>
      <c r="E1" s="56" t="inlineStr">
        <is>
          <t>Account required</t>
        </is>
      </c>
      <c r="F1" s="56" t="inlineStr">
        <is>
          <t>Steps</t>
        </is>
      </c>
      <c r="G1" s="56" t="inlineStr">
        <is>
          <t>Expected result</t>
        </is>
      </c>
      <c r="H1" s="56" t="inlineStr">
        <is>
          <t>Status</t>
        </is>
      </c>
      <c r="I1" s="56" t="inlineStr">
        <is>
          <t>Priority</t>
        </is>
      </c>
      <c r="J1" s="56" t="inlineStr">
        <is>
          <t>Severity</t>
        </is>
      </c>
      <c r="K1" s="56" t="inlineStr">
        <is>
          <t>Actual result</t>
        </is>
      </c>
      <c r="L1" s="56" t="inlineStr">
        <is>
          <t>Comments</t>
        </is>
      </c>
    </row>
    <row r="2" ht="35.05" customHeight="1" s="32">
      <c r="A2" s="57" t="inlineStr">
        <is>
          <t>PA-001</t>
        </is>
      </c>
      <c r="B2" s="57" t="inlineStr">
        <is>
          <t>Cart</t>
        </is>
      </c>
      <c r="C2" s="57" t="inlineStr">
        <is>
          <t>Add a product to cart</t>
        </is>
      </c>
      <c r="D2" s="57" t="inlineStr">
        <is>
          <t>Empty cart</t>
        </is>
      </c>
      <c r="E2" s="57" t="inlineStr">
        <is>
          <t>—</t>
        </is>
      </c>
      <c r="F2" s="57" t="inlineStr">
        <is>
          <t>1. Add a product. 2. Open the cart drawer.</t>
        </is>
      </c>
      <c r="G2" s="57" t="inlineStr">
        <is>
          <t>Cart counter increments, item appears in drawer with price.</t>
        </is>
      </c>
      <c r="H2" s="58" t="inlineStr">
        <is>
          <t>Pass</t>
        </is>
      </c>
      <c r="I2" s="57" t="inlineStr">
        <is>
          <t>High</t>
        </is>
      </c>
      <c r="J2" s="57" t="inlineStr">
        <is>
          <t>Blocker</t>
        </is>
      </c>
      <c r="K2" s="59" t="inlineStr">
        <is>
          <t>Ajout depuis le catalogue et la fiche : compteur du header incrémenté, article dans le tiroir avec son prix. Toast 'Ajouté au panier' avec Continuer / Voir le panier.</t>
        </is>
      </c>
      <c r="L2" s="59" t="inlineStr">
        <is>
          <t>Le panier affiche le SKU 'BPC-157-5MG' pour la variante 10 mg (mauvais SKU). Les boutons +/− n'ont pas de nom accessible. [Claude (Cowork) — 27/09/2026]</t>
        </is>
      </c>
    </row>
    <row r="3" ht="23.85" customHeight="1" s="32">
      <c r="A3" s="57" t="inlineStr">
        <is>
          <t>PA-002</t>
        </is>
      </c>
      <c r="B3" s="57" t="inlineStr">
        <is>
          <t>Cart</t>
        </is>
      </c>
      <c r="C3" s="57" t="inlineStr">
        <is>
          <t>Change quantities</t>
        </is>
      </c>
      <c r="D3" s="57" t="inlineStr">
        <is>
          <t>Item in cart</t>
        </is>
      </c>
      <c r="E3" s="57" t="inlineStr">
        <is>
          <t>—</t>
        </is>
      </c>
      <c r="F3" s="57" t="inlineStr">
        <is>
          <t>1. Increase/decrease quantity.</t>
        </is>
      </c>
      <c r="G3" s="57" t="inlineStr">
        <is>
          <t>Subtotal recalculated in real time.</t>
        </is>
      </c>
      <c r="H3" s="58" t="inlineStr">
        <is>
          <t>Pass</t>
        </is>
      </c>
      <c r="I3" s="57" t="inlineStr">
        <is>
          <t>High</t>
        </is>
      </c>
      <c r="J3" s="57" t="inlineStr">
        <is>
          <t>Major</t>
        </is>
      </c>
      <c r="K3" s="59" t="inlineStr">
        <is>
          <t>+/− dans le tiroir : sous-total recalculé instantanément (85 → 255 $ pour 3).</t>
        </is>
      </c>
      <c r="L3" s="59" t="inlineStr">
        <is>
          <t>[Claude (Cowork) — 27/09/2026]</t>
        </is>
      </c>
    </row>
    <row r="4" ht="23.85" customHeight="1" s="32">
      <c r="A4" s="57" t="inlineStr">
        <is>
          <t>PA-003</t>
        </is>
      </c>
      <c r="B4" s="57" t="inlineStr">
        <is>
          <t>Cart</t>
        </is>
      </c>
      <c r="C4" s="57" t="inlineStr">
        <is>
          <t>Remove an item</t>
        </is>
      </c>
      <c r="D4" s="57" t="inlineStr">
        <is>
          <t>Item in cart</t>
        </is>
      </c>
      <c r="E4" s="57" t="inlineStr">
        <is>
          <t>—</t>
        </is>
      </c>
      <c r="F4" s="57" t="inlineStr">
        <is>
          <t>1. Remove the item.</t>
        </is>
      </c>
      <c r="G4" s="57" t="inlineStr">
        <is>
          <t>Item removed; empty cart shows $0 total.</t>
        </is>
      </c>
      <c r="H4" s="58" t="inlineStr">
        <is>
          <t>Pass</t>
        </is>
      </c>
      <c r="I4" s="57" t="inlineStr">
        <is>
          <t>High</t>
        </is>
      </c>
      <c r="J4" s="57" t="inlineStr">
        <is>
          <t>Major</t>
        </is>
      </c>
      <c r="K4" s="59" t="inlineStr">
        <is>
          <t>Suppression → 'Votre panier est vide' + bouton 'Parcourir les composés'. localStorage vidé.</t>
        </is>
      </c>
      <c r="L4" s="59" t="inlineStr">
        <is>
          <t>Aucun total à 0 $ affiché (écran vide à la place). Acceptable. [Claude (Cowork) — 27/09/2026]</t>
        </is>
      </c>
    </row>
    <row r="5" ht="23.85" customHeight="1" s="32">
      <c r="A5" s="57" t="inlineStr">
        <is>
          <t>PA-004</t>
        </is>
      </c>
      <c r="B5" s="57" t="inlineStr">
        <is>
          <t>Cart</t>
        </is>
      </c>
      <c r="C5" s="57" t="inlineStr">
        <is>
          <t>Cart persistence (reload)</t>
        </is>
      </c>
      <c r="D5" s="57" t="inlineStr">
        <is>
          <t>Item in cart</t>
        </is>
      </c>
      <c r="E5" s="57" t="inlineStr">
        <is>
          <t>—</t>
        </is>
      </c>
      <c r="F5" s="57" t="inlineStr">
        <is>
          <t>1. Reload the page.</t>
        </is>
      </c>
      <c r="G5" s="57" t="inlineStr">
        <is>
          <t>Cart keeps its contents.</t>
        </is>
      </c>
      <c r="H5" s="58" t="inlineStr">
        <is>
          <t>Pass</t>
        </is>
      </c>
      <c r="I5" s="57" t="inlineStr">
        <is>
          <t>Medium</t>
        </is>
      </c>
      <c r="J5" s="57" t="inlineStr">
        <is>
          <t>Minor</t>
        </is>
      </c>
      <c r="K5" s="59" t="inlineStr">
        <is>
          <t>Le panier survit aux rechargements et à la navigation (localStorage fironova_cart_v1).</t>
        </is>
      </c>
      <c r="L5" s="59" t="inlineStr">
        <is>
          <t>[Claude (Cowork) — 27/09/2026]</t>
        </is>
      </c>
    </row>
    <row r="6" ht="23.85" customHeight="1" s="32">
      <c r="A6" s="57" t="inlineStr">
        <is>
          <t>PA-005</t>
        </is>
      </c>
      <c r="B6" s="57" t="inlineStr">
        <is>
          <t>Checkout</t>
        </is>
      </c>
      <c r="C6" s="57" t="inlineStr">
        <is>
          <t>Access checkout</t>
        </is>
      </c>
      <c r="D6" s="57" t="inlineStr">
        <is>
          <t>Non-empty cart</t>
        </is>
      </c>
      <c r="E6" s="57" t="inlineStr">
        <is>
          <t>—</t>
        </is>
      </c>
      <c r="F6" s="57" t="inlineStr">
        <is>
          <t>1. Click 'Order / Checkout'.</t>
        </is>
      </c>
      <c r="G6" s="57" t="inlineStr">
        <is>
          <t>Opens /checkout with shipping form + summary.</t>
        </is>
      </c>
      <c r="H6" s="58" t="inlineStr">
        <is>
          <t>Pass</t>
        </is>
      </c>
      <c r="I6" s="57" t="inlineStr">
        <is>
          <t>High</t>
        </is>
      </c>
      <c r="J6" s="57" t="inlineStr">
        <is>
          <t>Blocker</t>
        </is>
      </c>
      <c r="K6" s="59" t="inlineStr">
        <is>
          <t>/checkout : formulaire (contact, livraison, facturation, paiement, attestations) + résumé.</t>
        </is>
      </c>
      <c r="L6" s="59" t="inlineStr">
        <is>
          <t>Les champs n'ont pas de &lt;label&gt; associé (lecteur d'écran : 'textbox' sans nom). [Claude (Cowork) — 27/09/2026]</t>
        </is>
      </c>
    </row>
    <row r="7" ht="23.85" customHeight="1" s="32">
      <c r="A7" s="57" t="inlineStr">
        <is>
          <t>PA-006</t>
        </is>
      </c>
      <c r="B7" s="57" t="inlineStr">
        <is>
          <t>Checkout</t>
        </is>
      </c>
      <c r="C7" s="57" t="inlineStr">
        <is>
          <t>Canada address validation (postal code)</t>
        </is>
      </c>
      <c r="D7" s="57" t="inlineStr">
        <is>
          <t>Checkout open</t>
        </is>
      </c>
      <c r="E7" s="57" t="inlineStr">
        <is>
          <t>—</t>
        </is>
      </c>
      <c r="F7" s="57" t="inlineStr">
        <is>
          <t>1. Enter an invalid Canadian postal code. 2. Validate.</t>
        </is>
      </c>
      <c r="G7" s="57" t="inlineStr">
        <is>
          <t>Error 'Invalid Canadian postal code'.</t>
        </is>
      </c>
      <c r="H7" s="58" t="inlineStr">
        <is>
          <t>Pass</t>
        </is>
      </c>
      <c r="I7" s="57" t="inlineStr">
        <is>
          <t>High</t>
        </is>
      </c>
      <c r="J7" s="57" t="inlineStr">
        <is>
          <t>Major</t>
        </is>
      </c>
      <c r="K7" s="59" t="inlineStr">
        <is>
          <t>Code postal '12345' → toast 'Code postal canadien invalide'. Le champ le reformate en '123 45'.</t>
        </is>
      </c>
      <c r="L7" s="59" t="inlineStr">
        <is>
          <t>Erreur seulement en toast, pas sous le champ. [Claude (Cowork) — 27/09/2026]</t>
        </is>
      </c>
    </row>
    <row r="8" ht="35.05" customHeight="1" s="32">
      <c r="A8" s="57" t="inlineStr">
        <is>
          <t>PA-007</t>
        </is>
      </c>
      <c r="B8" s="57" t="inlineStr">
        <is>
          <t>Checkout</t>
        </is>
      </c>
      <c r="C8" s="57" t="inlineStr">
        <is>
          <t>US address validation (ZIP)</t>
        </is>
      </c>
      <c r="D8" s="57" t="inlineStr">
        <is>
          <t>Country = US</t>
        </is>
      </c>
      <c r="E8" s="57" t="inlineStr">
        <is>
          <t>—</t>
        </is>
      </c>
      <c r="F8" s="57" t="inlineStr">
        <is>
          <t>1. Enter an invalid ZIP. 2. Validate.</t>
        </is>
      </c>
      <c r="G8" s="57" t="inlineStr">
        <is>
          <t>Error 'Invalid ZIP code'.</t>
        </is>
      </c>
      <c r="H8" s="62" t="inlineStr">
        <is>
          <t>N/A</t>
        </is>
      </c>
      <c r="I8" s="57" t="inlineStr">
        <is>
          <t>Medium</t>
        </is>
      </c>
      <c r="J8" s="57" t="inlineStr">
        <is>
          <t>Minor</t>
        </is>
      </c>
      <c r="K8" s="59" t="inlineStr">
        <is>
          <t>Le sélecteur Pays ne propose que Canada : validation ZIP US impossible à tester.</t>
        </is>
      </c>
      <c r="L8" s="59" t="inlineStr">
        <is>
          <t>Si les US ne sont pas desservis, retirer 'PROVINCE / ÉTAT' et 'CODE POSTAL / ZIP' des libellés. [Claude (Cowork) — 27/09/2026]</t>
        </is>
      </c>
    </row>
    <row r="9" ht="46.25" customHeight="1" s="32">
      <c r="A9" s="57" t="inlineStr">
        <is>
          <t>PA-008</t>
        </is>
      </c>
      <c r="B9" s="57" t="inlineStr">
        <is>
          <t>Checkout</t>
        </is>
      </c>
      <c r="C9" s="57" t="inlineStr">
        <is>
          <t>Required fields</t>
        </is>
      </c>
      <c r="D9" s="57" t="inlineStr">
        <is>
          <t>Checkout open</t>
        </is>
      </c>
      <c r="E9" s="57" t="inlineStr">
        <is>
          <t>—</t>
        </is>
      </c>
      <c r="F9" s="57" t="inlineStr">
        <is>
          <t>1. Leave fields empty. 2. Validate.</t>
        </is>
      </c>
      <c r="G9" s="57" t="inlineStr">
        <is>
          <t>Clear errors on each required field (Name, Address, City, Province, Postal code, Country).</t>
        </is>
      </c>
      <c r="H9" s="60" t="inlineStr">
        <is>
          <t>Fail</t>
        </is>
      </c>
      <c r="I9" s="57" t="inlineStr">
        <is>
          <t>High</t>
        </is>
      </c>
      <c r="J9" s="57" t="inlineStr">
        <is>
          <t>Major</t>
        </is>
      </c>
      <c r="K9" s="59" t="inlineStr">
        <is>
          <t>Bouton actif dès que courriel + cases cochées, même avec l'adresse vide. Au clic, UNE seule erreur à la fois en toast ('Nom est requis' alors que c'est Prénom qui est vide, puis 'Adresse est requis').</t>
        </is>
      </c>
      <c r="L9" s="59" t="inlineStr">
        <is>
          <t>Attendu : une erreur claire sous chaque champ requis. Accord : 'Adresse est requise'. Le message du bas ne liste que courriel/âge/politique, pas l'adresse. [Claude (Cowork) — 27/09/2026]</t>
        </is>
      </c>
    </row>
    <row r="10" ht="23.85" customHeight="1" s="32">
      <c r="A10" s="57" t="inlineStr">
        <is>
          <t>PA-009</t>
        </is>
      </c>
      <c r="B10" s="57" t="inlineStr">
        <is>
          <t>Checkout</t>
        </is>
      </c>
      <c r="C10" s="57" t="inlineStr">
        <is>
          <t>Address suggestion (Google AVS)</t>
        </is>
      </c>
      <c r="D10" s="57" t="inlineStr">
        <is>
          <t>Invalid address rejected by server</t>
        </is>
      </c>
      <c r="E10" s="57" t="inlineStr">
        <is>
          <t>—</t>
        </is>
      </c>
      <c r="F10" s="57" t="inlineStr">
        <is>
          <t>1. Submit an invalid address (detail.code = invalid_shipping_address).</t>
        </is>
      </c>
      <c r="G10" s="57" t="inlineStr">
        <is>
          <t>Suggested-address dialog shown, without permanently blocking.</t>
        </is>
      </c>
      <c r="H10" s="59" t="inlineStr">
        <is>
          <t>To test</t>
        </is>
      </c>
      <c r="I10" s="57" t="inlineStr">
        <is>
          <t>Low</t>
        </is>
      </c>
      <c r="J10" s="57" t="inlineStr">
        <is>
          <t>Minor</t>
        </is>
      </c>
      <c r="K10" s="57" t="n"/>
      <c r="L10" s="57" t="n"/>
    </row>
    <row r="11" ht="15" customHeight="1" s="32">
      <c r="A11" s="57" t="inlineStr">
        <is>
          <t>PA-010</t>
        </is>
      </c>
      <c r="B11" s="57" t="inlineStr">
        <is>
          <t>Checkout</t>
        </is>
      </c>
      <c r="C11" s="57" t="inlineStr">
        <is>
          <t>Shipping $20 under $200</t>
        </is>
      </c>
      <c r="D11" s="57" t="inlineStr">
        <is>
          <t>Cart &lt; $200</t>
        </is>
      </c>
      <c r="E11" s="57" t="inlineStr">
        <is>
          <t>—</t>
        </is>
      </c>
      <c r="F11" s="57" t="inlineStr">
        <is>
          <t>1. Check the fee summary.</t>
        </is>
      </c>
      <c r="G11" s="57" t="inlineStr">
        <is>
          <t>Shipping = $20 CAD.</t>
        </is>
      </c>
      <c r="H11" s="58" t="inlineStr">
        <is>
          <t>Pass</t>
        </is>
      </c>
      <c r="I11" s="57" t="inlineStr">
        <is>
          <t>High</t>
        </is>
      </c>
      <c r="J11" s="57" t="inlineStr">
        <is>
          <t>Major</t>
        </is>
      </c>
      <c r="K11" s="59" t="inlineStr">
        <is>
          <t>Panier 69,99 $ → livraison 20,00 $, total 89,99 $.</t>
        </is>
      </c>
      <c r="L11" s="59" t="inlineStr">
        <is>
          <t>[Claude (Cowork) — 27/09/2026]</t>
        </is>
      </c>
    </row>
    <row r="12" ht="15" customHeight="1" s="32">
      <c r="A12" s="57" t="inlineStr">
        <is>
          <t>PA-011</t>
        </is>
      </c>
      <c r="B12" s="57" t="inlineStr">
        <is>
          <t>Checkout</t>
        </is>
      </c>
      <c r="C12" s="57" t="inlineStr">
        <is>
          <t>Free shipping from $200</t>
        </is>
      </c>
      <c r="D12" s="57" t="inlineStr">
        <is>
          <t>Cart ≥ $200</t>
        </is>
      </c>
      <c r="E12" s="57" t="inlineStr">
        <is>
          <t>—</t>
        </is>
      </c>
      <c r="F12" s="57" t="inlineStr">
        <is>
          <t>1. Check the fee summary.</t>
        </is>
      </c>
      <c r="G12" s="57" t="inlineStr">
        <is>
          <t>'FREE' shipping shown.</t>
        </is>
      </c>
      <c r="H12" s="58" t="inlineStr">
        <is>
          <t>Pass</t>
        </is>
      </c>
      <c r="I12" s="57" t="inlineStr">
        <is>
          <t>High</t>
        </is>
      </c>
      <c r="J12" s="57" t="inlineStr">
        <is>
          <t>Major</t>
        </is>
      </c>
      <c r="K12" s="59" t="inlineStr">
        <is>
          <t>Panier 259,98 $ → livraison 'GRATUITE', total 259,98 $.</t>
        </is>
      </c>
      <c r="L12" s="59" t="inlineStr">
        <is>
          <t>[Claude (Cowork) — 27/09/2026]</t>
        </is>
      </c>
    </row>
    <row r="13" ht="23.85" customHeight="1" s="32">
      <c r="A13" s="57" t="inlineStr">
        <is>
          <t>PA-012</t>
        </is>
      </c>
      <c r="B13" s="57" t="inlineStr">
        <is>
          <t>Checkout</t>
        </is>
      </c>
      <c r="C13" s="57" t="inlineStr">
        <is>
          <t>'Only $X away from free shipping' hint</t>
        </is>
      </c>
      <c r="D13" s="57" t="inlineStr">
        <is>
          <t>Cart below threshold</t>
        </is>
      </c>
      <c r="E13" s="57" t="inlineStr">
        <is>
          <t>—</t>
        </is>
      </c>
      <c r="F13" s="57" t="inlineStr">
        <is>
          <t>1. Observe the summary.</t>
        </is>
      </c>
      <c r="G13" s="57" t="inlineStr">
        <is>
          <t>Message showing remaining amount to reach free shipping.</t>
        </is>
      </c>
      <c r="H13" s="58" t="inlineStr">
        <is>
          <t>Pass</t>
        </is>
      </c>
      <c r="I13" s="57" t="inlineStr">
        <is>
          <t>Medium</t>
        </is>
      </c>
      <c r="J13" s="57" t="inlineStr">
        <is>
          <t>Minor</t>
        </is>
      </c>
      <c r="K13" s="59" t="inlineStr">
        <is>
          <t>'LIVRAISON GRATUITE DÈS 200$ : PLUS QUE 130.01$' (calcul correct).</t>
        </is>
      </c>
      <c r="L13" s="59" t="inlineStr">
        <is>
          <t>Format canadien-français : '130,01 $'. Tous les prix sont en '$69.99' même en FR. [Claude (Cowork) — 27/09/2026]</t>
        </is>
      </c>
    </row>
    <row r="14" ht="23.85" customHeight="1" s="32">
      <c r="A14" s="57" t="inlineStr">
        <is>
          <t>PA-013</t>
        </is>
      </c>
      <c r="B14" s="57" t="inlineStr">
        <is>
          <t>Checkout</t>
        </is>
      </c>
      <c r="C14" s="57" t="inlineStr">
        <is>
          <t>Apply a coupon</t>
        </is>
      </c>
      <c r="D14" s="57" t="inlineStr">
        <is>
          <t>Valid coupon exists</t>
        </is>
      </c>
      <c r="E14" s="57" t="inlineStr">
        <is>
          <t>—</t>
        </is>
      </c>
      <c r="F14" s="57" t="inlineStr">
        <is>
          <t>1. Enter code. 2. Apply.</t>
        </is>
      </c>
      <c r="G14" s="57" t="inlineStr">
        <is>
          <t>Discount line added to summary, total recalculated.</t>
        </is>
      </c>
      <c r="H14" s="61" t="inlineStr">
        <is>
          <t>Blocked</t>
        </is>
      </c>
      <c r="I14" s="57" t="inlineStr">
        <is>
          <t>High</t>
        </is>
      </c>
      <c r="J14" s="57" t="inlineStr">
        <is>
          <t>Major</t>
        </is>
      </c>
      <c r="K14" s="59" t="inlineStr">
        <is>
          <t>Aucun code promo valide connu.</t>
        </is>
      </c>
      <c r="L14" s="59" t="inlineStr">
        <is>
          <t>À faire après création d'un coupon en admin (CP-001). [Claude (Cowork) — 27/09/2026]</t>
        </is>
      </c>
    </row>
    <row r="15" ht="35.05" customHeight="1" s="32">
      <c r="A15" s="57" t="inlineStr">
        <is>
          <t>PA-014</t>
        </is>
      </c>
      <c r="B15" s="57" t="inlineStr">
        <is>
          <t>Checkout</t>
        </is>
      </c>
      <c r="C15" s="57" t="inlineStr">
        <is>
          <t>Invalid / expired coupon</t>
        </is>
      </c>
      <c r="D15" s="57" t="inlineStr">
        <is>
          <t>Non-existent coupon</t>
        </is>
      </c>
      <c r="E15" s="57" t="inlineStr">
        <is>
          <t>—</t>
        </is>
      </c>
      <c r="F15" s="57" t="inlineStr">
        <is>
          <t>1. Enter a wrong code. 2. Apply.</t>
        </is>
      </c>
      <c r="G15" s="57" t="inlineStr">
        <is>
          <t>Clear error message, no discount applied.</t>
        </is>
      </c>
      <c r="H15" s="58" t="inlineStr">
        <is>
          <t>Pass</t>
        </is>
      </c>
      <c r="I15" s="57" t="inlineStr">
        <is>
          <t>Medium</t>
        </is>
      </c>
      <c r="J15" s="57" t="inlineStr">
        <is>
          <t>Minor</t>
        </is>
      </c>
      <c r="K15" s="59" t="inlineStr">
        <is>
          <t>'FAUXCODE99' → toast d'erreur, aucune remise appliquée.</t>
        </is>
      </c>
      <c r="L15" s="59" t="inlineStr">
        <is>
          <t>Le message est en ANGLAIS ('Invalid coupon code') alors que le site est en FR. Le champ code promo n'a pas de libellé. [Claude (Cowork) — 27/09/2026]</t>
        </is>
      </c>
    </row>
    <row r="16" ht="15" customHeight="1" s="32">
      <c r="A16" s="57" t="inlineStr">
        <is>
          <t>PA-015</t>
        </is>
      </c>
      <c r="B16" s="57" t="inlineStr">
        <is>
          <t>Checkout</t>
        </is>
      </c>
      <c r="C16" s="57" t="inlineStr">
        <is>
          <t>Remove an applied coupon</t>
        </is>
      </c>
      <c r="D16" s="57" t="inlineStr">
        <is>
          <t>Coupon applied</t>
        </is>
      </c>
      <c r="E16" s="57" t="inlineStr">
        <is>
          <t>—</t>
        </is>
      </c>
      <c r="F16" s="57" t="inlineStr">
        <is>
          <t>1. Click 'Remove'.</t>
        </is>
      </c>
      <c r="G16" s="57" t="inlineStr">
        <is>
          <t>Discount removed, total back to normal.</t>
        </is>
      </c>
      <c r="H16" s="61" t="inlineStr">
        <is>
          <t>Blocked</t>
        </is>
      </c>
      <c r="I16" s="57" t="inlineStr">
        <is>
          <t>Medium</t>
        </is>
      </c>
      <c r="J16" s="57" t="inlineStr">
        <is>
          <t>Minor</t>
        </is>
      </c>
      <c r="K16" s="59" t="inlineStr">
        <is>
          <t>Dépend de PA-013.</t>
        </is>
      </c>
      <c r="L16" s="59" t="inlineStr">
        <is>
          <t>[Claude (Cowork) — 27/09/2026]</t>
        </is>
      </c>
    </row>
    <row r="17" ht="23.85" customHeight="1" s="32">
      <c r="A17" s="57" t="inlineStr">
        <is>
          <t>PA-016</t>
        </is>
      </c>
      <c r="B17" s="57" t="inlineStr">
        <is>
          <t>Checkout</t>
        </is>
      </c>
      <c r="C17" s="57" t="inlineStr">
        <is>
          <t>Confirmation checkboxes (19+, research, T&amp;C)</t>
        </is>
      </c>
      <c r="D17" s="57" t="inlineStr">
        <is>
          <t>Checkout filled</t>
        </is>
      </c>
      <c r="E17" s="57" t="inlineStr">
        <is>
          <t>—</t>
        </is>
      </c>
      <c r="F17" s="57" t="inlineStr">
        <is>
          <t>1. Leave boxes unchecked. 2. Validate.</t>
        </is>
      </c>
      <c r="G17" s="57" t="inlineStr">
        <is>
          <t>Validation blocked with acceptance-required message.</t>
        </is>
      </c>
      <c r="H17" s="58" t="inlineStr">
        <is>
          <t>Pass</t>
        </is>
      </c>
      <c r="I17" s="57" t="inlineStr">
        <is>
          <t>High</t>
        </is>
      </c>
      <c r="J17" s="57" t="inlineStr">
        <is>
          <t>Blocker</t>
        </is>
      </c>
      <c r="K17" s="59" t="inlineStr">
        <is>
          <t>Cases non cochées : bouton désactivé + 'Confirmez votre âge et l'usage recherche. Acceptez la politique.'</t>
        </is>
      </c>
      <c r="L17" s="59" t="inlineStr">
        <is>
          <t>Deux cases seulement (âge/RUO combinés + politique), conforme au redesign. [Claude (Cowork) — 27/09/2026]</t>
        </is>
      </c>
    </row>
    <row r="18" ht="35.05" customHeight="1" s="32">
      <c r="A18" s="57" t="inlineStr">
        <is>
          <t>PA-017</t>
        </is>
      </c>
      <c r="B18" s="57" t="inlineStr">
        <is>
          <t>Checkout</t>
        </is>
      </c>
      <c r="C18" s="57" t="inlineStr">
        <is>
          <t>Payment method choice (Interac / crypto)</t>
        </is>
      </c>
      <c r="D18" s="57" t="inlineStr">
        <is>
          <t>Checkout filled</t>
        </is>
      </c>
      <c r="E18" s="57" t="inlineStr">
        <is>
          <t>—</t>
        </is>
      </c>
      <c r="F18" s="57" t="inlineStr">
        <is>
          <t>1. Toggle Interac ↔ NOWPayments.</t>
        </is>
      </c>
      <c r="G18" s="57" t="inlineStr">
        <is>
          <t>Payment mode updates (instructions vs crypto widget).</t>
        </is>
      </c>
      <c r="H18" s="58" t="inlineStr">
        <is>
          <t>Pass</t>
        </is>
      </c>
      <c r="I18" s="57" t="inlineStr">
        <is>
          <t>High</t>
        </is>
      </c>
      <c r="J18" s="57" t="inlineStr">
        <is>
          <t>Major</t>
        </is>
      </c>
      <c r="K18" s="59" t="inlineStr">
        <is>
          <t>Interac ↔ Crypto : état CHOISI/CHOISIR et texte mis à jour ('instructions de virement Interac…' / 'Le paiement en USDC s'affichera sur la page suivante…').</t>
        </is>
      </c>
      <c r="L18" s="59" t="inlineStr">
        <is>
          <t>[Claude (Cowork) — 27/09/2026]</t>
        </is>
      </c>
    </row>
    <row r="19" ht="46.25" customHeight="1" s="32">
      <c r="A19" s="57" t="inlineStr">
        <is>
          <t>PA-018</t>
        </is>
      </c>
      <c r="B19" s="57" t="inlineStr">
        <is>
          <t>Checkout</t>
        </is>
      </c>
      <c r="C19" s="57" t="inlineStr">
        <is>
          <t>Checkout draft preserved (login)</t>
        </is>
      </c>
      <c r="D19" s="57" t="inlineStr">
        <is>
          <t>Checkout started, then login</t>
        </is>
      </c>
      <c r="E19" s="57" t="inlineStr">
        <is>
          <t>Client1</t>
        </is>
      </c>
      <c r="F19" s="57" t="inlineStr">
        <is>
          <t>1. Fill partially. 2. Log in mid-flow.</t>
        </is>
      </c>
      <c r="G19" s="57" t="inlineStr">
        <is>
          <t>Entered data (email, payment method, address) is restored.</t>
        </is>
      </c>
      <c r="H19" s="61" t="inlineStr">
        <is>
          <t>Blocked</t>
        </is>
      </c>
      <c r="I19" s="57" t="inlineStr">
        <is>
          <t>Low</t>
        </is>
      </c>
      <c r="J19" s="57" t="inlineStr">
        <is>
          <t>Minor</t>
        </is>
      </c>
      <c r="K19" s="59" t="inlineStr">
        <is>
          <t>Nécessite une connexion client. Partiel : le brouillon (courriel, adresse, mode de paiement) est restauré après rechargement ; les cases à cocher ne le sont pas (voulu). Le brouillon est vidé après la commande.</t>
        </is>
      </c>
      <c r="L19" s="59" t="inlineStr">
        <is>
          <t>[Claude (Cowork) — 27/09/2026]</t>
        </is>
      </c>
    </row>
    <row r="20" ht="68.65000000000001" customHeight="1" s="32">
      <c r="A20" s="57" t="inlineStr">
        <is>
          <t>PA-019</t>
        </is>
      </c>
      <c r="B20" s="57" t="inlineStr">
        <is>
          <t>Checkout</t>
        </is>
      </c>
      <c r="C20" s="57" t="inlineStr">
        <is>
          <t>Idempotency (double click)</t>
        </is>
      </c>
      <c r="D20" s="57" t="inlineStr">
        <is>
          <t>Checkout ready</t>
        </is>
      </c>
      <c r="E20" s="57" t="inlineStr">
        <is>
          <t>—</t>
        </is>
      </c>
      <c r="F20" s="57" t="inlineStr">
        <is>
          <t>1. Double-click 'Confirm'.</t>
        </is>
      </c>
      <c r="G20" s="57" t="inlineStr">
        <is>
          <t>A single order is created (no duplicate).</t>
        </is>
      </c>
      <c r="H20" s="58" t="inlineStr">
        <is>
          <t>Pass</t>
        </is>
      </c>
      <c r="I20" s="57" t="inlineStr">
        <is>
          <t>High</t>
        </is>
      </c>
      <c r="J20" s="57" t="inlineStr">
        <is>
          <t>Blocker</t>
        </is>
      </c>
      <c r="K20" s="59" t="inlineStr">
        <is>
          <t>Double-clic réel sur 'Procéder au paiement' → UN SEUL POST /api/checkout, une seule commande (FN-260927-F5FE5701).</t>
        </is>
      </c>
      <c r="L20" s="59" t="inlineStr">
        <is>
          <t>SÉCURITÉ OK : prix d'Épitalon modifié à 1,00 $ dans localStorage → la commande a été facturée au vrai prix (259,98 $). Mais le checkout affichait 210,99 $ avant validation : le client voit un total différent de celui facturé. Le résumé devrait recharger les prix depuis l'API. [Claude (Cowork) — 27/09/2026]</t>
        </is>
      </c>
    </row>
  </sheetData>
  <autoFilter ref="A1:L20"/>
  <dataValidations count="1">
    <dataValidation sqref="H2:H70"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3E5C76"/>
    <outlinePr summaryBelow="1" summaryRight="1"/>
    <pageSetUpPr fitToPage="0"/>
  </sheetPr>
  <dimension ref="A1:L15"/>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1" min="1" max="2"/>
    <col width="25" customWidth="1" style="31" min="3" max="3"/>
    <col width="17" customWidth="1" style="31" min="4" max="4"/>
    <col width="12" customWidth="1" style="31" min="5" max="5"/>
    <col width="27" customWidth="1" style="31" min="6" max="6"/>
    <col width="46" customWidth="1" style="31" min="7" max="7"/>
    <col width="10" customWidth="1" style="31" min="8" max="10"/>
    <col width="55" customWidth="1" style="31" min="11" max="12"/>
  </cols>
  <sheetData>
    <row r="1" ht="27.75" customHeight="1" s="32">
      <c r="A1" s="56" t="inlineStr">
        <is>
          <t>ID</t>
        </is>
      </c>
      <c r="B1" s="56" t="inlineStr">
        <is>
          <t>Module</t>
        </is>
      </c>
      <c r="C1" s="56" t="inlineStr">
        <is>
          <t>Test case / Scenario</t>
        </is>
      </c>
      <c r="D1" s="56" t="inlineStr">
        <is>
          <t>Preconditions / Data</t>
        </is>
      </c>
      <c r="E1" s="56" t="inlineStr">
        <is>
          <t>Account required</t>
        </is>
      </c>
      <c r="F1" s="56" t="inlineStr">
        <is>
          <t>Steps</t>
        </is>
      </c>
      <c r="G1" s="56" t="inlineStr">
        <is>
          <t>Expected result</t>
        </is>
      </c>
      <c r="H1" s="56" t="inlineStr">
        <is>
          <t>Status</t>
        </is>
      </c>
      <c r="I1" s="56" t="inlineStr">
        <is>
          <t>Priority</t>
        </is>
      </c>
      <c r="J1" s="56" t="inlineStr">
        <is>
          <t>Severity</t>
        </is>
      </c>
      <c r="K1" s="56" t="inlineStr">
        <is>
          <t>Actual result</t>
        </is>
      </c>
      <c r="L1" s="56" t="inlineStr">
        <is>
          <t>Comments</t>
        </is>
      </c>
    </row>
    <row r="2" ht="23.85" customHeight="1" s="32">
      <c r="A2" s="57" t="inlineStr">
        <is>
          <t>PM-001</t>
        </is>
      </c>
      <c r="B2" s="57" t="inlineStr">
        <is>
          <t>Confirmation</t>
        </is>
      </c>
      <c r="C2" s="57" t="inlineStr">
        <is>
          <t>Access confirmation page</t>
        </is>
      </c>
      <c r="D2" s="57" t="inlineStr">
        <is>
          <t>Order placed</t>
        </is>
      </c>
      <c r="E2" s="57" t="inlineStr">
        <is>
          <t>—</t>
        </is>
      </c>
      <c r="F2" s="57" t="inlineStr">
        <is>
          <t>1. After checkout, stay on /order/:id.</t>
        </is>
      </c>
      <c r="G2" s="57" t="inlineStr">
        <is>
          <t>Order number + summary displayed.</t>
        </is>
      </c>
      <c r="H2" s="58" t="inlineStr">
        <is>
          <t>Pass</t>
        </is>
      </c>
      <c r="I2" s="57" t="inlineStr">
        <is>
          <t>High</t>
        </is>
      </c>
      <c r="J2" s="57" t="inlineStr">
        <is>
          <t>Blocker</t>
        </is>
      </c>
      <c r="K2" s="59" t="inlineStr">
        <is>
          <t>/order/:id : 'Commande reçue', numéro FN-260927-F5FE5701, date, articles et totaux.</t>
        </is>
      </c>
      <c r="L2" s="59" t="inlineStr">
        <is>
          <t>Titre de l'onglet en anglais ('Order : Fironova'). [Claude (Cowork) — 27/09/2026]</t>
        </is>
      </c>
    </row>
    <row r="3" ht="46.25" customHeight="1" s="32">
      <c r="A3" s="57" t="inlineStr">
        <is>
          <t>PM-002</t>
        </is>
      </c>
      <c r="B3" s="57" t="inlineStr">
        <is>
          <t>Confirmation</t>
        </is>
      </c>
      <c r="C3" s="57" t="inlineStr">
        <is>
          <t>Interac instructions</t>
        </is>
      </c>
      <c r="D3" s="57" t="inlineStr">
        <is>
          <t>Order paid via Interac</t>
        </is>
      </c>
      <c r="E3" s="57" t="inlineStr">
        <is>
          <t>—</t>
        </is>
      </c>
      <c r="F3" s="57" t="inlineStr">
        <is>
          <t>1. Observe the Interac section.</t>
        </is>
      </c>
      <c r="G3" s="57" t="inlineStr">
        <is>
          <t>Recipient, CAD amount, reference, security question/answer visible.</t>
        </is>
      </c>
      <c r="H3" s="60" t="inlineStr">
        <is>
          <t>Fail</t>
        </is>
      </c>
      <c r="I3" s="57" t="inlineStr">
        <is>
          <t>High</t>
        </is>
      </c>
      <c r="J3" s="57" t="inlineStr">
        <is>
          <t>Major</t>
        </is>
      </c>
      <c r="K3" s="59" t="inlineStr">
        <is>
          <t>Destinataire orders@fironova.com, montant 259,98 $ CAD, référence = numéro de commande : OK.</t>
        </is>
      </c>
      <c r="L3" s="59" t="inlineStr">
        <is>
          <t>QUESTION DE SÉCURITÉ en anglais ('What is the brand name? (lowercase)') et RÉPONSE = 'nordpep' (ancienne marque !). À remplacer (ex. réponse 'fironova') et traduire la question. [Claude (Cowork) — 27/09/2026]</t>
        </is>
      </c>
    </row>
    <row r="4" ht="35.05" customHeight="1" s="32">
      <c r="A4" s="57" t="inlineStr">
        <is>
          <t>PM-003</t>
        </is>
      </c>
      <c r="B4" s="57" t="inlineStr">
        <is>
          <t>Confirmation</t>
        </is>
      </c>
      <c r="C4" s="57" t="inlineStr">
        <is>
          <t>NOWPayments crypto widget</t>
        </is>
      </c>
      <c r="D4" s="57" t="inlineStr">
        <is>
          <t>Order paid via crypto</t>
        </is>
      </c>
      <c r="E4" s="57" t="inlineStr">
        <is>
          <t>—</t>
        </is>
      </c>
      <c r="F4" s="57" t="inlineStr">
        <is>
          <t>1. Observe the crypto section.</t>
        </is>
      </c>
      <c r="G4" s="57" t="inlineStr">
        <is>
          <t>NOWPayments iframe widget with iid (invoice_id) + exact CAD amount.</t>
        </is>
      </c>
      <c r="H4" s="58" t="inlineStr">
        <is>
          <t>Pass</t>
        </is>
      </c>
      <c r="I4" s="57" t="inlineStr">
        <is>
          <t>High</t>
        </is>
      </c>
      <c r="J4" s="57" t="inlineStr">
        <is>
          <t>Major</t>
        </is>
      </c>
      <c r="K4" s="59" t="inlineStr">
        <is>
          <t>Iframe nowpayments.io/embeds/payment-widget avec iid, montant 50,00 $ CAD (≈ 37,166492 USDC). Lien de secours 'Ouvrir la page de paiement'.</t>
        </is>
      </c>
      <c r="L4" s="59" t="inlineStr">
        <is>
          <t>Grand espace blanc vide dans le module (cosmétique, côté NOWPayments). [Claude (Cowork) — 27/09/2026]</t>
        </is>
      </c>
    </row>
    <row r="5" ht="23.85" customHeight="1" s="32">
      <c r="A5" s="57" t="inlineStr">
        <is>
          <t>PM-004</t>
        </is>
      </c>
      <c r="B5" s="57" t="inlineStr">
        <is>
          <t>Confirmation</t>
        </is>
      </c>
      <c r="C5" s="57" t="inlineStr">
        <is>
          <t>'Key things to note' section (crypto)</t>
        </is>
      </c>
      <c r="D5" s="57" t="inlineStr">
        <is>
          <t>Crypto order</t>
        </is>
      </c>
      <c r="E5" s="57" t="inlineStr">
        <is>
          <t>—</t>
        </is>
      </c>
      <c r="F5" s="57" t="inlineStr">
        <is>
          <t>1. Read under the widget.</t>
        </is>
      </c>
      <c r="G5" s="57" t="inlineStr">
        <is>
          <t>4 bilingual bullets (stay on page, exact amount, minimum, non-refundable).</t>
        </is>
      </c>
      <c r="H5" s="58" t="inlineStr">
        <is>
          <t>Pass</t>
        </is>
      </c>
      <c r="I5" s="57" t="inlineStr">
        <is>
          <t>Low</t>
        </is>
      </c>
      <c r="J5" s="57" t="inlineStr">
        <is>
          <t>Minor</t>
        </is>
      </c>
      <c r="K5" s="59" t="inlineStr">
        <is>
          <t>4 points FR sous le module (rester sur la page, montant exact, minimum, non remboursable).</t>
        </is>
      </c>
      <c r="L5" s="59" t="inlineStr">
        <is>
          <t>[Claude (Cowork) — 27/09/2026]</t>
        </is>
      </c>
    </row>
    <row r="6" ht="35.05" customHeight="1" s="32">
      <c r="A6" s="57" t="inlineStr">
        <is>
          <t>PM-005</t>
        </is>
      </c>
      <c r="B6" s="57" t="inlineStr">
        <is>
          <t>Confirmation</t>
        </is>
      </c>
      <c r="C6" s="57" t="inlineStr">
        <is>
          <t>Payment-required banner (per-order delay)</t>
        </is>
      </c>
      <c r="D6" s="57" t="inlineStr">
        <is>
          <t>Unpaid order</t>
        </is>
      </c>
      <c r="E6" s="57" t="inlineStr">
        <is>
          <t>—</t>
        </is>
      </c>
      <c r="F6" s="57" t="inlineStr">
        <is>
          <t>1. Observe the red banner.</t>
        </is>
      </c>
      <c r="G6" s="57" t="inlineStr">
        <is>
          <t>'Payment required within X' where X is the order's REAL delay (e.g. '30 minutes' in production). Countdown tick: 15 s.</t>
        </is>
      </c>
      <c r="H6" s="58" t="inlineStr">
        <is>
          <t>Pass</t>
        </is>
      </c>
      <c r="I6" s="57" t="inlineStr">
        <is>
          <t>High</t>
        </is>
      </c>
      <c r="J6" s="57" t="inlineStr">
        <is>
          <t>Major</t>
        </is>
      </c>
      <c r="K6" s="59" t="inlineStr">
        <is>
          <t>Bandeau 'IL VOUS RESTE 1 H 59 MIN POUR PAYER' + 'Passé ce délai, la commande est annulée automatiquement.' Délai réel = 2 h (mode test).</t>
        </is>
      </c>
      <c r="L6" s="59" t="inlineStr">
        <is>
          <t>Bandeau orange et non rouge. Format '2 H 0 MIN' → préférer '2 h 00 min'. [Claude (Cowork) — 27/09/2026]</t>
        </is>
      </c>
    </row>
    <row r="7" ht="23.85" customHeight="1" s="32">
      <c r="A7" s="57" t="inlineStr">
        <is>
          <t>PM-006</t>
        </is>
      </c>
      <c r="B7" s="57" t="inlineStr">
        <is>
          <t>Confirmation</t>
        </is>
      </c>
      <c r="C7" s="57" t="inlineStr">
        <is>
          <t>Live countdown</t>
        </is>
      </c>
      <c r="D7" s="57" t="inlineStr">
        <is>
          <t>Unpaid order</t>
        </is>
      </c>
      <c r="E7" s="57" t="inlineStr">
        <is>
          <t>—</t>
        </is>
      </c>
      <c r="F7" s="57" t="inlineStr">
        <is>
          <t>1. Wait 15 s. 2. Observe.</t>
        </is>
      </c>
      <c r="G7" s="57" t="inlineStr">
        <is>
          <t>'You have X h Y min left' updates; 'Expired' after deadline.</t>
        </is>
      </c>
      <c r="H7" s="58" t="inlineStr">
        <is>
          <t>Pass</t>
        </is>
      </c>
      <c r="I7" s="57" t="inlineStr">
        <is>
          <t>Medium</t>
        </is>
      </c>
      <c r="J7" s="57" t="inlineStr">
        <is>
          <t>Minor</t>
        </is>
      </c>
      <c r="K7" s="59" t="inlineStr">
        <is>
          <t>Décompte passé de 1 h 59 à 1 h 58 en ~80 s sans rechargement.</t>
        </is>
      </c>
      <c r="L7" s="59" t="inlineStr">
        <is>
          <t>'Expiré' non vérifié (2 h d'attente). [Claude (Cowork) — 27/09/2026]</t>
        </is>
      </c>
    </row>
    <row r="8" ht="23.85" customHeight="1" s="32">
      <c r="A8" s="57" t="inlineStr">
        <is>
          <t>PM-007</t>
        </is>
      </c>
      <c r="B8" s="57" t="inlineStr">
        <is>
          <t>Confirmation</t>
        </is>
      </c>
      <c r="C8" s="57" t="inlineStr">
        <is>
          <t>Instructions hidden after payment</t>
        </is>
      </c>
      <c r="D8" s="57" t="inlineStr">
        <is>
          <t>Paid order</t>
        </is>
      </c>
      <c r="E8" s="57" t="inlineStr">
        <is>
          <t>—</t>
        </is>
      </c>
      <c r="F8" s="57" t="inlineStr">
        <is>
          <t>1. Open confirmation once paid.</t>
        </is>
      </c>
      <c r="G8" s="57" t="inlineStr">
        <is>
          <t>Crypto widget and Interac instructions hidden; green 'Payment received' banner.</t>
        </is>
      </c>
      <c r="H8" s="59" t="inlineStr">
        <is>
          <t>To test</t>
        </is>
      </c>
      <c r="I8" s="57" t="inlineStr">
        <is>
          <t>High</t>
        </is>
      </c>
      <c r="J8" s="57" t="inlineStr">
        <is>
          <t>Major</t>
        </is>
      </c>
      <c r="K8" s="57" t="n"/>
      <c r="L8" s="57" t="n"/>
    </row>
    <row r="9" ht="23.85" customHeight="1" s="32">
      <c r="A9" s="57" t="inlineStr">
        <is>
          <t>PM-008</t>
        </is>
      </c>
      <c r="B9" s="57" t="inlineStr">
        <is>
          <t>Confirmation</t>
        </is>
      </c>
      <c r="C9" s="57" t="inlineStr">
        <is>
          <t>Crypto status polling (20 s)</t>
        </is>
      </c>
      <c r="D9" s="57" t="inlineStr">
        <is>
          <t>Pending crypto order</t>
        </is>
      </c>
      <c r="E9" s="57" t="inlineStr">
        <is>
          <t>—</t>
        </is>
      </c>
      <c r="F9" s="57" t="inlineStr">
        <is>
          <t>1. Leave the page open.</t>
        </is>
      </c>
      <c r="G9" s="57" t="inlineStr">
        <is>
          <t>NOWPayments status re-polled every 20 s; 'paid' only on status 'finished'.</t>
        </is>
      </c>
      <c r="H9" s="58" t="inlineStr">
        <is>
          <t>Pass</t>
        </is>
      </c>
      <c r="I9" s="57" t="inlineStr">
        <is>
          <t>Medium</t>
        </is>
      </c>
      <c r="J9" s="57" t="inlineStr">
        <is>
          <t>Major</t>
        </is>
      </c>
      <c r="K9" s="59" t="inlineStr">
        <is>
          <t>GET /api/payments/crypto/status/:id toutes les ~20 s (2 appels en 40 s).</t>
        </is>
      </c>
      <c r="L9" s="59" t="inlineStr">
        <is>
          <t>L'appel sans le jeton invité renvoie 403 (bonne protection). [Claude (Cowork) — 27/09/2026]</t>
        </is>
      </c>
    </row>
    <row r="10" ht="23.85" customHeight="1" s="32">
      <c r="A10" s="57" t="inlineStr">
        <is>
          <t>PM-009</t>
        </is>
      </c>
      <c r="B10" s="57" t="inlineStr">
        <is>
          <t>Webhook</t>
        </is>
      </c>
      <c r="C10" s="57" t="inlineStr">
        <is>
          <t>NOWPayments IPN webhook (HMAC)</t>
        </is>
      </c>
      <c r="D10" s="57" t="inlineStr">
        <is>
          <t>Webhook + secret configured</t>
        </is>
      </c>
      <c r="E10" s="57" t="inlineStr">
        <is>
          <t>—</t>
        </is>
      </c>
      <c r="F10" s="57" t="inlineStr">
        <is>
          <t>1. Simulate a signed IPN (status finished).</t>
        </is>
      </c>
      <c r="G10" s="57" t="inlineStr">
        <is>
          <t>Order → 'paid' (idempotent), system note + email sent.</t>
        </is>
      </c>
      <c r="H10" s="59" t="inlineStr">
        <is>
          <t>To test</t>
        </is>
      </c>
      <c r="I10" s="57" t="inlineStr">
        <is>
          <t>High</t>
        </is>
      </c>
      <c r="J10" s="57" t="inlineStr">
        <is>
          <t>Blocker</t>
        </is>
      </c>
      <c r="K10" s="57" t="n"/>
      <c r="L10" s="57" t="n"/>
    </row>
    <row r="11" ht="23.85" customHeight="1" s="32">
      <c r="A11" s="57" t="inlineStr">
        <is>
          <t>PM-010</t>
        </is>
      </c>
      <c r="B11" s="57" t="inlineStr">
        <is>
          <t>Webhook</t>
        </is>
      </c>
      <c r="C11" s="57" t="inlineStr">
        <is>
          <t>Invalid IPN (bad signature)</t>
        </is>
      </c>
      <c r="D11" s="57" t="inlineStr">
        <is>
          <t>IPN secret configured</t>
        </is>
      </c>
      <c r="E11" s="57" t="inlineStr">
        <is>
          <t>—</t>
        </is>
      </c>
      <c r="F11" s="57" t="inlineStr">
        <is>
          <t>1. Send a badly signed IPN.</t>
        </is>
      </c>
      <c r="G11" s="57" t="inlineStr">
        <is>
          <t>Rejected 401/400, no order marked paid.</t>
        </is>
      </c>
      <c r="H11" s="61" t="inlineStr">
        <is>
          <t>Blocked</t>
        </is>
      </c>
      <c r="I11" s="57" t="inlineStr">
        <is>
          <t>High</t>
        </is>
      </c>
      <c r="J11" s="57" t="inlineStr">
        <is>
          <t>Blocker</t>
        </is>
      </c>
      <c r="K11" s="59" t="inlineStr">
        <is>
          <t>Chemin du webhook IPN inconnu (6 chemins testés → 404).</t>
        </is>
      </c>
      <c r="L11" s="59" t="inlineStr">
        <is>
          <t>Donner l'URL du webhook pour tester une signature invalide. [Claude (Cowork) — 27/09/2026]</t>
        </is>
      </c>
    </row>
    <row r="12" ht="23.85" customHeight="1" s="32">
      <c r="A12" s="57" t="inlineStr">
        <is>
          <t>PM-011</t>
        </is>
      </c>
      <c r="B12" s="57" t="inlineStr">
        <is>
          <t>Payment</t>
        </is>
      </c>
      <c r="C12" s="57" t="inlineStr">
        <is>
          <t>Auto-cancel unpaid order (per-order delay)</t>
        </is>
      </c>
      <c r="D12" s="57" t="inlineStr">
        <is>
          <t>Unpaid order + watchdog</t>
        </is>
      </c>
      <c r="E12" s="57" t="inlineStr">
        <is>
          <t>—</t>
        </is>
      </c>
      <c r="F12" s="57" t="inlineStr">
        <is>
          <t>1. Wait for deadline (or force watchdog).</t>
        </is>
      </c>
      <c r="G12" s="57" t="inlineStr">
        <is>
          <t>Order → cancelled, system note, stock restocked.</t>
        </is>
      </c>
      <c r="H12" s="59" t="inlineStr">
        <is>
          <t>To test</t>
        </is>
      </c>
      <c r="I12" s="57" t="inlineStr">
        <is>
          <t>High</t>
        </is>
      </c>
      <c r="J12" s="57" t="inlineStr">
        <is>
          <t>Major</t>
        </is>
      </c>
      <c r="K12" s="57" t="n"/>
      <c r="L12" s="57" t="n"/>
    </row>
    <row r="13" ht="23.85" customHeight="1" s="32">
      <c r="A13" s="57" t="inlineStr">
        <is>
          <t>PM-012</t>
        </is>
      </c>
      <c r="B13" s="57" t="inlineStr">
        <is>
          <t>Payment</t>
        </is>
      </c>
      <c r="C13" s="57" t="inlineStr">
        <is>
          <t>Late Interac payment (cancelled order)</t>
        </is>
      </c>
      <c r="D13" s="57" t="inlineStr">
        <is>
          <t>Cancelled order</t>
        </is>
      </c>
      <c r="E13" s="57" t="inlineStr">
        <is>
          <t>—</t>
        </is>
      </c>
      <c r="F13" s="57" t="inlineStr">
        <is>
          <t>1. Let an e-Transfer arrive after cancellation.</t>
        </is>
      </c>
      <c r="G13" s="57" t="inlineStr">
        <is>
          <t>'⚠️ LATE PAYMENT' note + late_payment flags set (idempotent).</t>
        </is>
      </c>
      <c r="H13" s="59" t="inlineStr">
        <is>
          <t>To test</t>
        </is>
      </c>
      <c r="I13" s="57" t="inlineStr">
        <is>
          <t>Medium</t>
        </is>
      </c>
      <c r="J13" s="57" t="inlineStr">
        <is>
          <t>Major</t>
        </is>
      </c>
      <c r="K13" s="57" t="n"/>
      <c r="L13" s="57" t="n"/>
    </row>
    <row r="14" ht="23.85" customHeight="1" s="32">
      <c r="A14" s="57" t="inlineStr">
        <is>
          <t>PM-013</t>
        </is>
      </c>
      <c r="B14" s="57" t="inlineStr">
        <is>
          <t>Invoice</t>
        </is>
      </c>
      <c r="C14" s="57" t="inlineStr">
        <is>
          <t>Invoice PDF download</t>
        </is>
      </c>
      <c r="D14" s="57" t="inlineStr">
        <is>
          <t>Paid order</t>
        </is>
      </c>
      <c r="E14" s="57" t="inlineStr">
        <is>
          <t>—</t>
        </is>
      </c>
      <c r="F14" s="57" t="inlineStr">
        <is>
          <t>1. Download invoice (admin).</t>
        </is>
      </c>
      <c r="G14" s="57" t="inlineStr">
        <is>
          <t>ReportLab PDF with logo, items table, totals, regulatory footer.</t>
        </is>
      </c>
      <c r="H14" s="59" t="inlineStr">
        <is>
          <t>To test</t>
        </is>
      </c>
      <c r="I14" s="57" t="inlineStr">
        <is>
          <t>Medium</t>
        </is>
      </c>
      <c r="J14" s="57" t="inlineStr">
        <is>
          <t>Minor</t>
        </is>
      </c>
      <c r="K14" s="57" t="n"/>
      <c r="L14" s="57" t="n"/>
    </row>
    <row r="15" ht="23.85" customHeight="1" s="32">
      <c r="A15" s="31" t="inlineStr">
        <is>
          <t>PM-014</t>
        </is>
      </c>
      <c r="B15" s="31" t="inlineStr">
        <is>
          <t>Confirmation</t>
        </is>
      </c>
      <c r="C15" s="31" t="inlineStr">
        <is>
          <t>Production banner: 30 minutes</t>
        </is>
      </c>
      <c r="D15" s="31" t="inlineStr">
        <is>
          <t>Unpaid order, TTL 0.5 h (production)</t>
        </is>
      </c>
      <c r="E15" s="31" t="inlineStr">
        <is>
          <t>—</t>
        </is>
      </c>
      <c r="F15" s="31" t="inlineStr">
        <is>
          <t>1. Open /order/:id for an order awaiting payment.</t>
        </is>
      </c>
      <c r="G15" s="31" t="inlineStr">
        <is>
          <t>'Payment required within 30 minutes' + countdown (15 s tick).</t>
        </is>
      </c>
      <c r="H15" s="63" t="inlineStr">
        <is>
          <t>N/A</t>
        </is>
      </c>
      <c r="I15" s="31" t="inlineStr">
        <is>
          <t>High</t>
        </is>
      </c>
      <c r="J15" s="31" t="inlineStr">
        <is>
          <t>Major</t>
        </is>
      </c>
      <c r="K15" s="34" t="inlineStr">
        <is>
          <t>Environnement de test : délai 2 h. Le texte 30 minutes ne peut être vérifié qu'en production.</t>
        </is>
      </c>
      <c r="L15" s="34" t="inlineStr">
        <is>
          <t>[Claude (Cowork) — 27/09/2026]</t>
        </is>
      </c>
    </row>
  </sheetData>
  <autoFilter ref="A1:L14"/>
  <dataValidations count="1">
    <dataValidation sqref="H2:H64"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3E5C76"/>
    <outlinePr summaryBelow="1" summaryRight="1"/>
    <pageSetUpPr fitToPage="0"/>
  </sheetPr>
  <dimension ref="A1:L1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1" min="1" max="2"/>
    <col width="23" customWidth="1" style="31" min="3" max="3"/>
    <col width="21" customWidth="1" style="31" min="4" max="4"/>
    <col width="14" customWidth="1" style="31" min="5" max="5"/>
    <col width="29" customWidth="1" style="31" min="6" max="6"/>
    <col width="39" customWidth="1" style="31" min="7" max="7"/>
    <col width="10" customWidth="1" style="31" min="8" max="10"/>
    <col width="55" customWidth="1" style="31" min="11" max="12"/>
  </cols>
  <sheetData>
    <row r="1" ht="27.75" customHeight="1" s="32">
      <c r="A1" s="56" t="inlineStr">
        <is>
          <t>ID</t>
        </is>
      </c>
      <c r="B1" s="56" t="inlineStr">
        <is>
          <t>Module</t>
        </is>
      </c>
      <c r="C1" s="56" t="inlineStr">
        <is>
          <t>Test case / Scenario</t>
        </is>
      </c>
      <c r="D1" s="56" t="inlineStr">
        <is>
          <t>Preconditions / Data</t>
        </is>
      </c>
      <c r="E1" s="56" t="inlineStr">
        <is>
          <t>Account required</t>
        </is>
      </c>
      <c r="F1" s="56" t="inlineStr">
        <is>
          <t>Steps</t>
        </is>
      </c>
      <c r="G1" s="56" t="inlineStr">
        <is>
          <t>Expected result</t>
        </is>
      </c>
      <c r="H1" s="56" t="inlineStr">
        <is>
          <t>Status</t>
        </is>
      </c>
      <c r="I1" s="56" t="inlineStr">
        <is>
          <t>Priority</t>
        </is>
      </c>
      <c r="J1" s="56" t="inlineStr">
        <is>
          <t>Severity</t>
        </is>
      </c>
      <c r="K1" s="56" t="inlineStr">
        <is>
          <t>Actual result</t>
        </is>
      </c>
      <c r="L1" s="56" t="inlineStr">
        <is>
          <t>Comments</t>
        </is>
      </c>
    </row>
    <row r="2" ht="23.85" customHeight="1" s="32">
      <c r="A2" s="57" t="inlineStr">
        <is>
          <t>AU-001</t>
        </is>
      </c>
      <c r="B2" s="57" t="inlineStr">
        <is>
          <t>Signup</t>
        </is>
      </c>
      <c r="C2" s="57" t="inlineStr">
        <is>
          <t>Account creation</t>
        </is>
      </c>
      <c r="D2" s="57" t="inlineStr">
        <is>
          <t>No account</t>
        </is>
      </c>
      <c r="E2" s="57" t="inlineStr">
        <is>
          <t>New client</t>
        </is>
      </c>
      <c r="F2" s="57" t="inlineStr">
        <is>
          <t>1. /register. 2. Enter email + password. 3. Submit.</t>
        </is>
      </c>
      <c r="G2" s="57" t="inlineStr">
        <is>
          <t>Account created, session open, redirect.</t>
        </is>
      </c>
      <c r="H2" s="61" t="inlineStr">
        <is>
          <t>Blocked</t>
        </is>
      </c>
      <c r="I2" s="57" t="inlineStr">
        <is>
          <t>High</t>
        </is>
      </c>
      <c r="J2" s="57" t="inlineStr">
        <is>
          <t>Blocker</t>
        </is>
      </c>
      <c r="K2" s="59" t="inlineStr">
        <is>
          <t>Création de compte : faite par un humain (je n'ai pas le droit de saisir des mots de passe sur un site en ligne).</t>
        </is>
      </c>
      <c r="L2" s="59" t="inlineStr">
        <is>
          <t>[Claude (Cowork) — 27/09/2026]</t>
        </is>
      </c>
    </row>
    <row r="3" ht="15" customHeight="1" s="32">
      <c r="A3" s="57" t="inlineStr">
        <is>
          <t>AU-002</t>
        </is>
      </c>
      <c r="B3" s="57" t="inlineStr">
        <is>
          <t>Signup</t>
        </is>
      </c>
      <c r="C3" s="57" t="inlineStr">
        <is>
          <t>Email already in use</t>
        </is>
      </c>
      <c r="D3" s="57" t="inlineStr">
        <is>
          <t>Existing account</t>
        </is>
      </c>
      <c r="E3" s="57" t="inlineStr">
        <is>
          <t>Client1</t>
        </is>
      </c>
      <c r="F3" s="57" t="inlineStr">
        <is>
          <t>1. Reuse the same email.</t>
        </is>
      </c>
      <c r="G3" s="57" t="inlineStr">
        <is>
          <t>Clear 'email already in use' error.</t>
        </is>
      </c>
      <c r="H3" s="61" t="inlineStr">
        <is>
          <t>Blocked</t>
        </is>
      </c>
      <c r="I3" s="57" t="inlineStr">
        <is>
          <t>Medium</t>
        </is>
      </c>
      <c r="J3" s="57" t="inlineStr">
        <is>
          <t>Minor</t>
        </is>
      </c>
      <c r="K3" s="59" t="inlineStr">
        <is>
          <t>Idem AU-001.</t>
        </is>
      </c>
      <c r="L3" s="59" t="inlineStr">
        <is>
          <t>[Claude (Cowork) — 27/09/2026]</t>
        </is>
      </c>
    </row>
    <row r="4" ht="15" customHeight="1" s="32">
      <c r="A4" s="57" t="inlineStr">
        <is>
          <t>AU-003</t>
        </is>
      </c>
      <c r="B4" s="57" t="inlineStr">
        <is>
          <t>Login</t>
        </is>
      </c>
      <c r="C4" s="57" t="inlineStr">
        <is>
          <t>Email + password login</t>
        </is>
      </c>
      <c r="D4" s="57" t="inlineStr">
        <is>
          <t>Account created</t>
        </is>
      </c>
      <c r="E4" s="57" t="inlineStr">
        <is>
          <t>Client1</t>
        </is>
      </c>
      <c r="F4" s="57" t="inlineStr">
        <is>
          <t>1. /login. 2. Enter credentials.</t>
        </is>
      </c>
      <c r="G4" s="57" t="inlineStr">
        <is>
          <t>Session open (httpOnly cookie), redirect.</t>
        </is>
      </c>
      <c r="H4" s="61" t="inlineStr">
        <is>
          <t>Blocked</t>
        </is>
      </c>
      <c r="I4" s="57" t="inlineStr">
        <is>
          <t>High</t>
        </is>
      </c>
      <c r="J4" s="57" t="inlineStr">
        <is>
          <t>Blocker</t>
        </is>
      </c>
      <c r="K4" s="59" t="inlineStr">
        <is>
          <t>Connexion par mot de passe : à faire par Mishka.</t>
        </is>
      </c>
      <c r="L4" s="59" t="inlineStr">
        <is>
          <t>[Claude (Cowork) — 27/09/2026]</t>
        </is>
      </c>
    </row>
    <row r="5" ht="15" customHeight="1" s="32">
      <c r="A5" s="57" t="inlineStr">
        <is>
          <t>AU-004</t>
        </is>
      </c>
      <c r="B5" s="57" t="inlineStr">
        <is>
          <t>Login</t>
        </is>
      </c>
      <c r="C5" s="57" t="inlineStr">
        <is>
          <t>Wrong password</t>
        </is>
      </c>
      <c r="D5" s="57" t="inlineStr">
        <is>
          <t>Account created</t>
        </is>
      </c>
      <c r="E5" s="57" t="inlineStr">
        <is>
          <t>Client1</t>
        </is>
      </c>
      <c r="F5" s="57" t="inlineStr">
        <is>
          <t>1. Enter a wrong password.</t>
        </is>
      </c>
      <c r="G5" s="57" t="inlineStr">
        <is>
          <t>Generic error (no info leak).</t>
        </is>
      </c>
      <c r="H5" s="61" t="inlineStr">
        <is>
          <t>Blocked</t>
        </is>
      </c>
      <c r="I5" s="57" t="inlineStr">
        <is>
          <t>High</t>
        </is>
      </c>
      <c r="J5" s="57" t="inlineStr">
        <is>
          <t>Major</t>
        </is>
      </c>
      <c r="K5" s="59" t="inlineStr">
        <is>
          <t>Idem.</t>
        </is>
      </c>
      <c r="L5" s="59" t="inlineStr">
        <is>
          <t>[Claude (Cowork) — 27/09/2026]</t>
        </is>
      </c>
    </row>
    <row r="6" ht="23.85" customHeight="1" s="32">
      <c r="A6" s="57" t="inlineStr">
        <is>
          <t>AU-005</t>
        </is>
      </c>
      <c r="B6" s="57" t="inlineStr">
        <is>
          <t>Login</t>
        </is>
      </c>
      <c r="C6" s="57" t="inlineStr">
        <is>
          <t>Brute-force lockout (5 attempts)</t>
        </is>
      </c>
      <c r="D6" s="57" t="inlineStr">
        <is>
          <t>Account created</t>
        </is>
      </c>
      <c r="E6" s="57" t="inlineStr">
        <is>
          <t>Brute-force client</t>
        </is>
      </c>
      <c r="F6" s="57" t="inlineStr">
        <is>
          <t>1. 5 wrong attempts from same IP.</t>
        </is>
      </c>
      <c r="G6" s="57" t="inlineStr">
        <is>
          <t>429 / temporary block; different IP gets 401 (Cloudflare distinction).</t>
        </is>
      </c>
      <c r="H6" s="61" t="inlineStr">
        <is>
          <t>Blocked</t>
        </is>
      </c>
      <c r="I6" s="57" t="inlineStr">
        <is>
          <t>High</t>
        </is>
      </c>
      <c r="J6" s="57" t="inlineStr">
        <is>
          <t>Major</t>
        </is>
      </c>
      <c r="K6" s="59" t="inlineStr">
        <is>
          <t>Idem (5 mauvais mots de passe).</t>
        </is>
      </c>
      <c r="L6" s="59" t="inlineStr">
        <is>
          <t>[Claude (Cowork) — 27/09/2026]</t>
        </is>
      </c>
    </row>
    <row r="7" ht="23.85" customHeight="1" s="32">
      <c r="A7" s="57" t="inlineStr">
        <is>
          <t>AU-006</t>
        </is>
      </c>
      <c r="B7" s="57" t="inlineStr">
        <is>
          <t>Login</t>
        </is>
      </c>
      <c r="C7" s="57" t="inlineStr">
        <is>
          <t>IP behind Cloudflare (CF-Connecting-IP)</t>
        </is>
      </c>
      <c r="D7" s="57" t="inlineStr">
        <is>
          <t>Traffic via CDN</t>
        </is>
      </c>
      <c r="E7" s="57" t="inlineStr">
        <is>
          <t>Brute-force client</t>
        </is>
      </c>
      <c r="F7" s="57" t="inlineStr">
        <is>
          <t>1. Attempt several logins.</t>
        </is>
      </c>
      <c r="G7" s="57" t="inlineStr">
        <is>
          <t>Rate-limit uses CF-Connecting-IP (not proxy IP).</t>
        </is>
      </c>
      <c r="H7" s="61" t="inlineStr">
        <is>
          <t>Blocked</t>
        </is>
      </c>
      <c r="I7" s="57" t="inlineStr">
        <is>
          <t>Medium</t>
        </is>
      </c>
      <c r="J7" s="57" t="inlineStr">
        <is>
          <t>Minor</t>
        </is>
      </c>
      <c r="K7" s="59" t="inlineStr">
        <is>
          <t>Idem.</t>
        </is>
      </c>
      <c r="L7" s="59" t="inlineStr">
        <is>
          <t>[Claude (Cowork) — 27/09/2026]</t>
        </is>
      </c>
    </row>
    <row r="8" ht="23.85" customHeight="1" s="32">
      <c r="A8" s="57" t="inlineStr">
        <is>
          <t>AU-007</t>
        </is>
      </c>
      <c r="B8" s="57" t="inlineStr">
        <is>
          <t>Login</t>
        </is>
      </c>
      <c r="C8" s="57" t="inlineStr">
        <is>
          <t>Google OAuth</t>
        </is>
      </c>
      <c r="D8" s="57" t="inlineStr">
        <is>
          <t>GOOGLE_CLIENT_ID/secret configured</t>
        </is>
      </c>
      <c r="E8" s="57" t="inlineStr">
        <is>
          <t>Google client (OAuth)</t>
        </is>
      </c>
      <c r="F8" s="57" t="inlineStr">
        <is>
          <t>1. Click 'Sign in with Google'.</t>
        </is>
      </c>
      <c r="G8" s="57" t="inlineStr">
        <is>
          <t>Account created/attached, same httpOnly session cookie.</t>
        </is>
      </c>
      <c r="H8" s="61" t="inlineStr">
        <is>
          <t>Blocked</t>
        </is>
      </c>
      <c r="I8" s="57" t="inlineStr">
        <is>
          <t>Medium</t>
        </is>
      </c>
      <c r="J8" s="57" t="inlineStr">
        <is>
          <t>Major</t>
        </is>
      </c>
      <c r="K8" s="59" t="inlineStr">
        <is>
          <t>OAuth Google : à faire par Mishka.</t>
        </is>
      </c>
      <c r="L8" s="59" t="inlineStr">
        <is>
          <t>[Claude (Cowork) — 27/09/2026]</t>
        </is>
      </c>
    </row>
    <row r="9" ht="35.05" customHeight="1" s="32">
      <c r="A9" s="57" t="inlineStr">
        <is>
          <t>AU-008</t>
        </is>
      </c>
      <c r="B9" s="57" t="inlineStr">
        <is>
          <t>Password</t>
        </is>
      </c>
      <c r="C9" s="57" t="inlineStr">
        <is>
          <t>Forgot password</t>
        </is>
      </c>
      <c r="D9" s="57" t="inlineStr">
        <is>
          <t>Account created</t>
        </is>
      </c>
      <c r="E9" s="57" t="inlineStr">
        <is>
          <t>Client1</t>
        </is>
      </c>
      <c r="F9" s="57" t="inlineStr">
        <is>
          <t>1. /forgot-password. 2. Enter email.</t>
        </is>
      </c>
      <c r="G9" s="57" t="inlineStr">
        <is>
          <t>Reset email sent (Resend).</t>
        </is>
      </c>
      <c r="H9" s="58" t="inlineStr">
        <is>
          <t>Pass</t>
        </is>
      </c>
      <c r="I9" s="57" t="inlineStr">
        <is>
          <t>Medium</t>
        </is>
      </c>
      <c r="J9" s="57" t="inlineStr">
        <is>
          <t>Major</t>
        </is>
      </c>
      <c r="K9" s="59" t="inlineStr">
        <is>
          <t>/forgot-password : message générique 'Si un compte existe pour cette adresse… expire dans 30 minutes' (pas de fuite d'info).</t>
        </is>
      </c>
      <c r="L9" s="59" t="inlineStr">
        <is>
          <t>Réception du courriel (Resend) non vérifiée : boîte de test requise. [Claude (Cowork) — 27/09/2026]</t>
        </is>
      </c>
    </row>
    <row r="10" ht="23.85" customHeight="1" s="32">
      <c r="A10" s="57" t="inlineStr">
        <is>
          <t>AU-009</t>
        </is>
      </c>
      <c r="B10" s="57" t="inlineStr">
        <is>
          <t>Password</t>
        </is>
      </c>
      <c r="C10" s="57" t="inlineStr">
        <is>
          <t>Password reset</t>
        </is>
      </c>
      <c r="D10" s="57" t="inlineStr">
        <is>
          <t>Link received by email</t>
        </is>
      </c>
      <c r="E10" s="57" t="inlineStr">
        <is>
          <t>Client1</t>
        </is>
      </c>
      <c r="F10" s="57" t="inlineStr">
        <is>
          <t>1. Open the link. 2. Choose new password.</t>
        </is>
      </c>
      <c r="G10" s="57" t="inlineStr">
        <is>
          <t>Password reset, old one invalidated.</t>
        </is>
      </c>
      <c r="H10" s="59" t="inlineStr">
        <is>
          <t>To test</t>
        </is>
      </c>
      <c r="I10" s="57" t="inlineStr">
        <is>
          <t>Medium</t>
        </is>
      </c>
      <c r="J10" s="57" t="inlineStr">
        <is>
          <t>Major</t>
        </is>
      </c>
      <c r="K10" s="57" t="n"/>
      <c r="L10" s="57" t="n"/>
    </row>
    <row r="11" ht="23.85" customHeight="1" s="32">
      <c r="A11" s="57" t="inlineStr">
        <is>
          <t>AU-010</t>
        </is>
      </c>
      <c r="B11" s="57" t="inlineStr">
        <is>
          <t>Login</t>
        </is>
      </c>
      <c r="C11" s="57" t="inlineStr">
        <is>
          <t>Magic link</t>
        </is>
      </c>
      <c r="D11" s="57" t="inlineStr">
        <is>
          <t>Email sent</t>
        </is>
      </c>
      <c r="E11" s="57" t="inlineStr">
        <is>
          <t>Client1</t>
        </is>
      </c>
      <c r="F11" s="57" t="inlineStr">
        <is>
          <t>1. Click the magic-link.</t>
        </is>
      </c>
      <c r="G11" s="57" t="inlineStr">
        <is>
          <t>1-click login without password, session open.</t>
        </is>
      </c>
      <c r="H11" s="59" t="inlineStr">
        <is>
          <t>To test</t>
        </is>
      </c>
      <c r="I11" s="57" t="inlineStr">
        <is>
          <t>Medium</t>
        </is>
      </c>
      <c r="J11" s="57" t="inlineStr">
        <is>
          <t>Major</t>
        </is>
      </c>
      <c r="K11" s="57" t="n"/>
      <c r="L11" s="57" t="n"/>
    </row>
    <row r="12" ht="23.85" customHeight="1" s="32">
      <c r="A12" s="57" t="inlineStr">
        <is>
          <t>AU-011</t>
        </is>
      </c>
      <c r="B12" s="57" t="inlineStr">
        <is>
          <t>Account</t>
        </is>
      </c>
      <c r="C12" s="57" t="inlineStr">
        <is>
          <t>Protected /account</t>
        </is>
      </c>
      <c r="D12" s="57" t="inlineStr">
        <is>
          <t>Logged out</t>
        </is>
      </c>
      <c r="E12" s="57" t="inlineStr">
        <is>
          <t>—</t>
        </is>
      </c>
      <c r="F12" s="57" t="inlineStr">
        <is>
          <t>1. Try to open /account.</t>
        </is>
      </c>
      <c r="G12" s="57" t="inlineStr">
        <is>
          <t>Redirected to /login (ProtectedRoute).</t>
        </is>
      </c>
      <c r="H12" s="58" t="inlineStr">
        <is>
          <t>Pass</t>
        </is>
      </c>
      <c r="I12" s="57" t="inlineStr">
        <is>
          <t>High</t>
        </is>
      </c>
      <c r="J12" s="57" t="inlineStr">
        <is>
          <t>Major</t>
        </is>
      </c>
      <c r="K12" s="59" t="inlineStr">
        <is>
          <t>/account déconnecté → redirection /login.</t>
        </is>
      </c>
      <c r="L12" s="59" t="inlineStr">
        <is>
          <t>/affiliate déconnecté → /login aussi. [Claude (Cowork) — 27/09/2026]</t>
        </is>
      </c>
    </row>
    <row r="13" ht="23.85" customHeight="1" s="32">
      <c r="A13" s="57" t="inlineStr">
        <is>
          <t>AU-012</t>
        </is>
      </c>
      <c r="B13" s="57" t="inlineStr">
        <is>
          <t>Account</t>
        </is>
      </c>
      <c r="C13" s="57" t="inlineStr">
        <is>
          <t>Saved addresses + reuse</t>
        </is>
      </c>
      <c r="D13" s="57" t="inlineStr">
        <is>
          <t>Logged-in account</t>
        </is>
      </c>
      <c r="E13" s="57" t="inlineStr">
        <is>
          <t>Client1</t>
        </is>
      </c>
      <c r="F13" s="57" t="inlineStr">
        <is>
          <t>1. Add an address. 2. Reuse it at checkout.</t>
        </is>
      </c>
      <c r="G13" s="57" t="inlineStr">
        <is>
          <t>Addresses persisted and selectable at checkout.</t>
        </is>
      </c>
      <c r="H13" s="59" t="inlineStr">
        <is>
          <t>To test</t>
        </is>
      </c>
      <c r="I13" s="57" t="inlineStr">
        <is>
          <t>Medium</t>
        </is>
      </c>
      <c r="J13" s="57" t="inlineStr">
        <is>
          <t>Minor</t>
        </is>
      </c>
      <c r="K13" s="57" t="n"/>
      <c r="L13" s="57" t="n"/>
    </row>
    <row r="14" ht="15" customHeight="1" s="32">
      <c r="A14" s="57" t="inlineStr">
        <is>
          <t>AU-013</t>
        </is>
      </c>
      <c r="B14" s="57" t="inlineStr">
        <is>
          <t>Account</t>
        </is>
      </c>
      <c r="C14" s="57" t="inlineStr">
        <is>
          <t>Order history</t>
        </is>
      </c>
      <c r="D14" s="57" t="inlineStr">
        <is>
          <t>Orders placed</t>
        </is>
      </c>
      <c r="E14" s="57" t="inlineStr">
        <is>
          <t>Client1</t>
        </is>
      </c>
      <c r="F14" s="57" t="inlineStr">
        <is>
          <t>1. Open /account.</t>
        </is>
      </c>
      <c r="G14" s="57" t="inlineStr">
        <is>
          <t>Order list with visible statuses.</t>
        </is>
      </c>
      <c r="H14" s="59" t="inlineStr">
        <is>
          <t>To test</t>
        </is>
      </c>
      <c r="I14" s="57" t="inlineStr">
        <is>
          <t>Medium</t>
        </is>
      </c>
      <c r="J14" s="57" t="inlineStr">
        <is>
          <t>Minor</t>
        </is>
      </c>
      <c r="K14" s="57" t="n"/>
      <c r="L14" s="57" t="n"/>
    </row>
    <row r="15" ht="35.05" customHeight="1" s="32">
      <c r="A15" s="57" t="inlineStr">
        <is>
          <t>AU-014</t>
        </is>
      </c>
      <c r="B15" s="57" t="inlineStr">
        <is>
          <t>Session</t>
        </is>
      </c>
      <c r="C15" s="57" t="inlineStr">
        <is>
          <t>Expiry / refresh</t>
        </is>
      </c>
      <c r="D15" s="57" t="inlineStr">
        <is>
          <t>Session open</t>
        </is>
      </c>
      <c r="E15" s="57" t="inlineStr">
        <is>
          <t>Client1</t>
        </is>
      </c>
      <c r="F15" s="57" t="inlineStr">
        <is>
          <t>1. Wait ACCESS_TOKEN_MINUTES. 2. Act.</t>
        </is>
      </c>
      <c r="G15" s="57" t="inlineStr">
        <is>
          <t>httpOnly refresh cookie renews the session without re-login.</t>
        </is>
      </c>
      <c r="H15" s="59" t="inlineStr">
        <is>
          <t>To test</t>
        </is>
      </c>
      <c r="I15" s="57" t="inlineStr">
        <is>
          <t>Low</t>
        </is>
      </c>
      <c r="J15" s="57" t="inlineStr">
        <is>
          <t>Minor</t>
        </is>
      </c>
      <c r="K15" s="57" t="n"/>
      <c r="L15" s="57" t="n"/>
    </row>
    <row r="16" ht="57.45" customHeight="1" s="32">
      <c r="A16" s="57" t="inlineStr">
        <is>
          <t>AU-015</t>
        </is>
      </c>
      <c r="B16" s="57" t="inlineStr">
        <is>
          <t>Newsletter</t>
        </is>
      </c>
      <c r="C16" s="57" t="inlineStr">
        <is>
          <t>Signup + double opt-in</t>
        </is>
      </c>
      <c r="D16" s="57" t="inlineStr">
        <is>
          <t>Valid email</t>
        </is>
      </c>
      <c r="E16" s="57" t="inlineStr">
        <is>
          <t>Newsletter client</t>
        </is>
      </c>
      <c r="F16" s="57" t="inlineStr">
        <is>
          <t>1. Subscribe. 2. Click /newsletter/confirm/:token.</t>
        </is>
      </c>
      <c r="G16" s="57" t="inlineStr">
        <is>
          <t>Subscription confirmed after clicking one-time link.</t>
        </is>
      </c>
      <c r="H16" s="60" t="inlineStr">
        <is>
          <t>Fail</t>
        </is>
      </c>
      <c r="I16" s="57" t="inlineStr">
        <is>
          <t>Low</t>
        </is>
      </c>
      <c r="J16" s="57" t="inlineStr">
        <is>
          <t>Minor</t>
        </is>
      </c>
      <c r="K16" s="59" t="inlineStr">
        <is>
          <t>Sans case cochée : 'Veuillez confirmer votre consentement…' (OK). Avec case : toast immédiat 'Confirmé : vous êtes inscrit.'</t>
        </is>
      </c>
      <c r="L16" s="59" t="inlineStr">
        <is>
          <t>Attendu : double opt-in (message 'vérifiez votre courriel pour confirmer'). Le message affiché laisse croire que l'inscription est confirmée sans clic sur le lien. Vérifier dans la boîte de réception si un lien /newsletter/confirm est bien envoyé. [Claude (Cowork) — 27/09/2026]</t>
        </is>
      </c>
    </row>
    <row r="17" ht="15" customHeight="1" s="32">
      <c r="A17" s="31" t="inlineStr">
        <is>
          <t>AU-016</t>
        </is>
      </c>
      <c r="B17" s="31" t="inlineStr">
        <is>
          <t>Login</t>
        </is>
      </c>
      <c r="C17" s="31" t="inlineStr">
        <is>
          <t>Magic link → an affiliate lands on /affiliate (dashboard), not /account</t>
        </is>
      </c>
      <c r="D17" s="31" t="inlineStr">
        <is>
          <t>Affiliate account</t>
        </is>
      </c>
      <c r="E17" s="31" t="inlineStr">
        <is>
          <t>Affiliate1</t>
        </is>
      </c>
      <c r="H17" s="64" t="inlineStr">
        <is>
          <t>To test</t>
        </is>
      </c>
    </row>
  </sheetData>
  <autoFilter ref="A1:L16"/>
  <dataValidations count="1">
    <dataValidation sqref="H2:H66"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3E5C76"/>
    <outlinePr summaryBelow="1" summaryRight="1"/>
    <pageSetUpPr fitToPage="0"/>
  </sheetPr>
  <dimension ref="A1:L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1" min="1" max="2"/>
    <col width="21" customWidth="1" style="31" min="3" max="3"/>
    <col width="14" customWidth="1" style="31" min="4" max="4"/>
    <col width="12" customWidth="1" style="31" min="5" max="5"/>
    <col width="23" customWidth="1" style="31" min="6" max="6"/>
    <col width="42" customWidth="1" style="31" min="7" max="7"/>
    <col width="10" customWidth="1" style="31" min="8" max="10"/>
    <col width="55" customWidth="1" style="31" min="11" max="12"/>
  </cols>
  <sheetData>
    <row r="1" ht="27.75" customHeight="1" s="32">
      <c r="A1" s="56" t="inlineStr">
        <is>
          <t>ID</t>
        </is>
      </c>
      <c r="B1" s="56" t="inlineStr">
        <is>
          <t>Module</t>
        </is>
      </c>
      <c r="C1" s="56" t="inlineStr">
        <is>
          <t>Test case / Scenario</t>
        </is>
      </c>
      <c r="D1" s="56" t="inlineStr">
        <is>
          <t>Preconditions / Data</t>
        </is>
      </c>
      <c r="E1" s="56" t="inlineStr">
        <is>
          <t>Account required</t>
        </is>
      </c>
      <c r="F1" s="56" t="inlineStr">
        <is>
          <t>Steps</t>
        </is>
      </c>
      <c r="G1" s="56" t="inlineStr">
        <is>
          <t>Expected result</t>
        </is>
      </c>
      <c r="H1" s="56" t="inlineStr">
        <is>
          <t>Status</t>
        </is>
      </c>
      <c r="I1" s="56" t="inlineStr">
        <is>
          <t>Priority</t>
        </is>
      </c>
      <c r="J1" s="56" t="inlineStr">
        <is>
          <t>Severity</t>
        </is>
      </c>
      <c r="K1" s="56" t="inlineStr">
        <is>
          <t>Actual result</t>
        </is>
      </c>
      <c r="L1" s="56" t="inlineStr">
        <is>
          <t>Comments</t>
        </is>
      </c>
    </row>
    <row r="2" ht="35.05" customHeight="1" s="32">
      <c r="A2" s="57" t="inlineStr">
        <is>
          <t>LE-001</t>
        </is>
      </c>
      <c r="B2" s="57" t="inlineStr">
        <is>
          <t>T&amp;C</t>
        </is>
      </c>
      <c r="C2" s="57" t="inlineStr">
        <is>
          <t>Bilingual Terms &amp; Conditions page</t>
        </is>
      </c>
      <c r="D2" s="57" t="inlineStr">
        <is>
          <t>Site loaded</t>
        </is>
      </c>
      <c r="E2" s="57" t="inlineStr">
        <is>
          <t>—</t>
        </is>
      </c>
      <c r="F2" s="57" t="inlineStr">
        <is>
          <t>1. /compliance.</t>
        </is>
      </c>
      <c r="G2" s="57" t="inlineStr">
        <is>
          <t>17 bilingual FR/EN sections (acceptance, 19+, research use, returns, etc.).</t>
        </is>
      </c>
      <c r="H2" s="58" t="inlineStr">
        <is>
          <t>Pass</t>
        </is>
      </c>
      <c r="I2" s="57" t="inlineStr">
        <is>
          <t>High</t>
        </is>
      </c>
      <c r="J2" s="57" t="inlineStr">
        <is>
          <t>Blocker</t>
        </is>
      </c>
      <c r="K2" s="59" t="inlineStr">
        <is>
          <t>/compliance : 17 sections numérotées + Politique d'expédition, en FR et EN (acceptation, 19+, usage, retours…).</t>
        </is>
      </c>
      <c r="L2" s="59" t="inlineStr">
        <is>
          <t>[Claude (Cowork) — 27/09/2026]</t>
        </is>
      </c>
    </row>
    <row r="3" ht="35.05" customHeight="1" s="32">
      <c r="A3" s="57" t="inlineStr">
        <is>
          <t>LE-002</t>
        </is>
      </c>
      <c r="B3" s="57" t="inlineStr">
        <is>
          <t>T&amp;C</t>
        </is>
      </c>
      <c r="C3" s="57" t="inlineStr">
        <is>
          <t>Shipping policy section (#shipping)</t>
        </is>
      </c>
      <c r="D3" s="57" t="inlineStr">
        <is>
          <t>T&amp;C page</t>
        </is>
      </c>
      <c r="E3" s="57" t="inlineStr">
        <is>
          <t>—</t>
        </is>
      </c>
      <c r="F3" s="57" t="inlineStr">
        <is>
          <t>1. Navigate to shipping section.</t>
        </is>
      </c>
      <c r="G3" s="57" t="inlineStr">
        <is>
          <t>7 bilingual subsections ($200 free, 2 pm ET, regional delays, lost parcels).</t>
        </is>
      </c>
      <c r="H3" s="58" t="inlineStr">
        <is>
          <t>Pass</t>
        </is>
      </c>
      <c r="I3" s="57" t="inlineStr">
        <is>
          <t>High</t>
        </is>
      </c>
      <c r="J3" s="57" t="inlineStr">
        <is>
          <t>Major</t>
        </is>
      </c>
      <c r="K3" s="59" t="inlineStr">
        <is>
          <t>#shipping : section 'Politique d'expédition' avec 8 sous-titres, livraison gratuite dès 200 $, heure limite 13 h HE (FR) / 1:00 p.m. Eastern (EN). FAQ cohérente (13 h).</t>
        </is>
      </c>
      <c r="L3" s="59" t="inlineStr">
        <is>
          <t>Le plan dit '2 pm ET' et '7 sous-sections' : le plan est à mettre à jour (13 h est la règle décidée). [Claude (Cowork) — 27/09/2026]</t>
        </is>
      </c>
    </row>
    <row r="4" ht="23.85" customHeight="1" s="32">
      <c r="A4" s="57" t="inlineStr">
        <is>
          <t>LE-003</t>
        </is>
      </c>
      <c r="B4" s="57" t="inlineStr">
        <is>
          <t>Privacy</t>
        </is>
      </c>
      <c r="C4" s="57" t="inlineStr">
        <is>
          <t>/privacy page</t>
        </is>
      </c>
      <c r="D4" s="57" t="inlineStr">
        <is>
          <t>Site loaded</t>
        </is>
      </c>
      <c r="E4" s="57" t="inlineStr">
        <is>
          <t>—</t>
        </is>
      </c>
      <c r="F4" s="57" t="inlineStr">
        <is>
          <t>1. /privacy.</t>
        </is>
      </c>
      <c r="G4" s="57" t="inlineStr">
        <is>
          <t>11 bilingual sections, LPRPDE + Law 25 mention.</t>
        </is>
      </c>
      <c r="H4" s="58" t="inlineStr">
        <is>
          <t>Pass</t>
        </is>
      </c>
      <c r="I4" s="57" t="inlineStr">
        <is>
          <t>Medium</t>
        </is>
      </c>
      <c r="J4" s="57" t="inlineStr">
        <is>
          <t>Major</t>
        </is>
      </c>
      <c r="K4" s="59" t="inlineStr">
        <is>
          <t>/privacy : 12 sections FR et EN, mentions LPRPDE/PIPEDA et Loi 25 présentes.</t>
        </is>
      </c>
      <c r="L4" s="59" t="inlineStr">
        <is>
          <t>Le plan attend 11 sections. [Claude (Cowork) — 27/09/2026]</t>
        </is>
      </c>
    </row>
    <row r="5" ht="35.05" customHeight="1" s="32">
      <c r="A5" s="57" t="inlineStr">
        <is>
          <t>LE-004</t>
        </is>
      </c>
      <c r="B5" s="57" t="inlineStr">
        <is>
          <t>FAQ</t>
        </is>
      </c>
      <c r="C5" s="57" t="inlineStr">
        <is>
          <t>/faq page (accordions)</t>
        </is>
      </c>
      <c r="D5" s="57" t="inlineStr">
        <is>
          <t>Site loaded</t>
        </is>
      </c>
      <c r="E5" s="57" t="inlineStr">
        <is>
          <t>—</t>
        </is>
      </c>
      <c r="F5" s="57" t="inlineStr">
        <is>
          <t>1. /faq. 2. Expand accordions.</t>
        </is>
      </c>
      <c r="G5" s="57" t="inlineStr">
        <is>
          <t>5 categories, 22 bilingual questions, contact block info@nordpep.ca.</t>
        </is>
      </c>
      <c r="H5" s="58" t="inlineStr">
        <is>
          <t>Pass</t>
        </is>
      </c>
      <c r="I5" s="57" t="inlineStr">
        <is>
          <t>Medium</t>
        </is>
      </c>
      <c r="J5" s="57" t="inlineStr">
        <is>
          <t>Minor</t>
        </is>
      </c>
      <c r="K5" s="59" t="inlineStr">
        <is>
          <t>/faq : 5 catégories + bloc contact, 23 questions en accordéon (FR et EN), contact info@fironova.com.</t>
        </is>
      </c>
      <c r="L5" s="59" t="inlineStr">
        <is>
          <t>Le plan attend 22 questions et info@nordpep.ca : le plan est obsolète, le site est correct. [Claude (Cowork) — 27/09/2026]</t>
        </is>
      </c>
    </row>
    <row r="6" ht="23.85" customHeight="1" s="32">
      <c r="A6" s="57" t="inlineStr">
        <is>
          <t>LE-005</t>
        </is>
      </c>
      <c r="B6" s="57" t="inlineStr">
        <is>
          <t>Lab</t>
        </is>
      </c>
      <c r="C6" s="57" t="inlineStr">
        <is>
          <t>/lab page (COA)</t>
        </is>
      </c>
      <c r="D6" s="57" t="inlineStr">
        <is>
          <t>COA_PAGE_ENABLED=true</t>
        </is>
      </c>
      <c r="E6" s="57" t="inlineStr">
        <is>
          <t>—</t>
        </is>
      </c>
      <c r="F6" s="57" t="inlineStr">
        <is>
          <t>1. /lab.</t>
        </is>
      </c>
      <c r="G6" s="57" t="inlineStr">
        <is>
          <t>Lab page visible. (If flag off → redirect home.)</t>
        </is>
      </c>
      <c r="H6" s="58" t="inlineStr">
        <is>
          <t>Pass</t>
        </is>
      </c>
      <c r="I6" s="57" t="inlineStr">
        <is>
          <t>Low</t>
        </is>
      </c>
      <c r="J6" s="57" t="inlineStr">
        <is>
          <t>Minor</t>
        </is>
      </c>
      <c r="K6" s="59" t="inlineStr">
        <is>
          <t>/lab redirige vers l'accueil (COA_PAGE_ENABLED désactivé).</t>
        </is>
      </c>
      <c r="L6" s="59" t="inlineStr">
        <is>
          <t>[Claude (Cowork) — 27/09/2026]</t>
        </is>
      </c>
    </row>
    <row r="7" ht="35.05" customHeight="1" s="32">
      <c r="A7" s="57" t="inlineStr">
        <is>
          <t>LE-006</t>
        </is>
      </c>
      <c r="B7" s="57" t="inlineStr">
        <is>
          <t>About</t>
        </is>
      </c>
      <c r="C7" s="57" t="inlineStr">
        <is>
          <t>/about page</t>
        </is>
      </c>
      <c r="D7" s="57" t="inlineStr">
        <is>
          <t>Site loaded</t>
        </is>
      </c>
      <c r="E7" s="57" t="inlineStr">
        <is>
          <t>—</t>
        </is>
      </c>
      <c r="F7" s="57" t="inlineStr">
        <is>
          <t>1. /about.</t>
        </is>
      </c>
      <c r="G7" s="57" t="inlineStr">
        <is>
          <t>About page loads, bilingual.</t>
        </is>
      </c>
      <c r="H7" s="58" t="inlineStr">
        <is>
          <t>Pass</t>
        </is>
      </c>
      <c r="I7" s="57" t="inlineStr">
        <is>
          <t>Low</t>
        </is>
      </c>
      <c r="J7" s="57" t="inlineStr">
        <is>
          <t>Minor</t>
        </is>
      </c>
      <c r="K7" s="59" t="inlineStr">
        <is>
          <t>/about charge en FR et EN.</t>
        </is>
      </c>
      <c r="L7" s="59" t="inlineStr">
        <is>
          <t>Contenu très court (~450 caractères) et page introuvable dans la navigation (voir SP-007). [Claude (Cowork) — 27/09/2026]</t>
        </is>
      </c>
    </row>
    <row r="8" ht="35.05" customHeight="1" s="32">
      <c r="A8" s="57" t="inlineStr">
        <is>
          <t>LE-007</t>
        </is>
      </c>
      <c r="B8" s="57" t="inlineStr">
        <is>
          <t>Compliance</t>
        </is>
      </c>
      <c r="C8" s="57" t="inlineStr">
        <is>
          <t>No 'Health Canada / FDA' mention</t>
        </is>
      </c>
      <c r="D8" s="57" t="inlineStr">
        <is>
          <t>T&amp;C/FAQ pages</t>
        </is>
      </c>
      <c r="E8" s="57" t="inlineStr">
        <is>
          <t>—</t>
        </is>
      </c>
      <c r="F8" s="57" t="inlineStr">
        <is>
          <t>1. Browse T&amp;C + FAQ.</t>
        </is>
      </c>
      <c r="G8" s="57" t="inlineStr">
        <is>
          <t>No Health Canada/FDA mention; neutral 'research use only' wording.</t>
        </is>
      </c>
      <c r="H8" s="58" t="inlineStr">
        <is>
          <t>Pass</t>
        </is>
      </c>
      <c r="I8" s="57" t="inlineStr">
        <is>
          <t>High</t>
        </is>
      </c>
      <c r="J8" s="57" t="inlineStr">
        <is>
          <t>Blocker</t>
        </is>
      </c>
      <c r="K8" s="59" t="inlineStr">
        <is>
          <t>Aucune mention 'Health Canada', 'Santé Canada' ou 'FDA' dans les CG, la FAQ ni la politique de confidentialité (FR et EN).</t>
        </is>
      </c>
      <c r="L8" s="59" t="inlineStr">
        <is>
          <t>[Claude (Cowork) — 27/09/2026]</t>
        </is>
      </c>
    </row>
    <row r="9" ht="35.05" customHeight="1" s="32">
      <c r="A9" s="57" t="inlineStr">
        <is>
          <t>LE-008</t>
        </is>
      </c>
      <c r="B9" s="57" t="inlineStr">
        <is>
          <t>Compliance</t>
        </is>
      </c>
      <c r="C9" s="57" t="inlineStr">
        <is>
          <t>19+ restriction everywhere</t>
        </is>
      </c>
      <c r="D9" s="57" t="inlineStr">
        <is>
          <t>Whole site</t>
        </is>
      </c>
      <c r="E9" s="57" t="inlineStr">
        <is>
          <t>—</t>
        </is>
      </c>
      <c r="F9" s="57" t="inlineStr">
        <is>
          <t>1. Check header, footer, invoice, T&amp;C.</t>
        </is>
      </c>
      <c r="G9" s="57" t="inlineStr">
        <is>
          <t>19+ and 'research use only' notices present everywhere.</t>
        </is>
      </c>
      <c r="H9" s="58" t="inlineStr">
        <is>
          <t>Pass</t>
        </is>
      </c>
      <c r="I9" s="57" t="inlineStr">
        <is>
          <t>High</t>
        </is>
      </c>
      <c r="J9" s="57" t="inlineStr">
        <is>
          <t>Blocker</t>
        </is>
      </c>
      <c r="K9" s="59" t="inlineStr">
        <is>
          <t>19+ et 'usage recherche uniquement' dans le bandeau du haut, le footer ('Âge vérifié 19+'), l'AgeGate et la section 03 des CG.</t>
        </is>
      </c>
      <c r="L9" s="59" t="inlineStr">
        <is>
          <t>Facture PDF non vérifiée (admin requis). [Claude (Cowork) — 27/09/2026]</t>
        </is>
      </c>
    </row>
  </sheetData>
  <autoFilter ref="A1:L9"/>
  <dataValidations count="1">
    <dataValidation sqref="H2:H59"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3E5C76"/>
    <outlinePr summaryBelow="1" summaryRight="1"/>
    <pageSetUpPr fitToPage="0"/>
  </sheetPr>
  <dimension ref="A1:L2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1" min="1" max="2"/>
    <col width="27" customWidth="1" style="31" min="3" max="3"/>
    <col width="16" customWidth="1" style="31" min="4" max="4"/>
    <col width="17" customWidth="1" style="31" min="5" max="5"/>
    <col width="23" customWidth="1" style="31" min="6" max="6"/>
    <col width="46" customWidth="1" style="31" min="7" max="7"/>
    <col width="10" customWidth="1" style="31" min="8" max="10"/>
    <col width="55" customWidth="1" style="31" min="11" max="12"/>
  </cols>
  <sheetData>
    <row r="1" ht="27.75" customHeight="1" s="32">
      <c r="A1" s="56" t="inlineStr">
        <is>
          <t>ID</t>
        </is>
      </c>
      <c r="B1" s="56" t="inlineStr">
        <is>
          <t>Module</t>
        </is>
      </c>
      <c r="C1" s="56" t="inlineStr">
        <is>
          <t>Test case / Scenario</t>
        </is>
      </c>
      <c r="D1" s="56" t="inlineStr">
        <is>
          <t>Preconditions / Data</t>
        </is>
      </c>
      <c r="E1" s="56" t="inlineStr">
        <is>
          <t>Account required</t>
        </is>
      </c>
      <c r="F1" s="56" t="inlineStr">
        <is>
          <t>Steps</t>
        </is>
      </c>
      <c r="G1" s="56" t="inlineStr">
        <is>
          <t>Expected result</t>
        </is>
      </c>
      <c r="H1" s="56" t="inlineStr">
        <is>
          <t>Status</t>
        </is>
      </c>
      <c r="I1" s="56" t="inlineStr">
        <is>
          <t>Priority</t>
        </is>
      </c>
      <c r="J1" s="56" t="inlineStr">
        <is>
          <t>Severity</t>
        </is>
      </c>
      <c r="K1" s="56" t="inlineStr">
        <is>
          <t>Actual result</t>
        </is>
      </c>
      <c r="L1" s="56" t="inlineStr">
        <is>
          <t>Comments</t>
        </is>
      </c>
    </row>
    <row r="2" ht="23.85" customHeight="1" s="32">
      <c r="A2" s="57" t="inlineStr">
        <is>
          <t>AF-001</t>
        </is>
      </c>
      <c r="B2" s="57" t="inlineStr">
        <is>
          <t>Invitation</t>
        </is>
      </c>
      <c r="C2" s="57" t="inlineStr">
        <is>
          <t>1-click magic-link activation (/affiliate/join)</t>
        </is>
      </c>
      <c r="D2" s="57" t="inlineStr">
        <is>
          <t>Invitation email received</t>
        </is>
      </c>
      <c r="E2" s="57" t="inlineStr">
        <is>
          <t>Affiliate3</t>
        </is>
      </c>
      <c r="F2" s="57" t="inlineStr">
        <is>
          <t>1. Open the invitation link.</t>
        </is>
      </c>
      <c r="G2" s="57" t="inlineStr">
        <is>
          <t>Passwordless account created, affiliate activated, JWT set, redirect /affiliate in ~1.2 s.</t>
        </is>
      </c>
      <c r="H2" s="59" t="inlineStr">
        <is>
          <t>To test</t>
        </is>
      </c>
      <c r="I2" s="57" t="inlineStr">
        <is>
          <t>High</t>
        </is>
      </c>
      <c r="J2" s="57" t="inlineStr">
        <is>
          <t>Major</t>
        </is>
      </c>
      <c r="K2" s="57" t="n"/>
      <c r="L2" s="57" t="n"/>
    </row>
    <row r="3" ht="23.85" customHeight="1" s="32">
      <c r="A3" s="57" t="inlineStr">
        <is>
          <t>AF-002</t>
        </is>
      </c>
      <c r="B3" s="57" t="inlineStr">
        <is>
          <t>Program</t>
        </is>
      </c>
      <c r="C3" s="57" t="inlineStr">
        <is>
          <t>Program page (valid token)</t>
        </is>
      </c>
      <c r="D3" s="57" t="inlineStr">
        <is>
          <t>Valid invitation token</t>
        </is>
      </c>
      <c r="E3" s="57" t="inlineStr">
        <is>
          <t>Affiliate3</t>
        </is>
      </c>
      <c r="F3" s="57" t="inlineStr">
        <is>
          <t>1. /affiliate/programme.</t>
        </is>
      </c>
      <c r="G3" s="57" t="inlineStr">
        <is>
          <t>Program shows only with a valid token.</t>
        </is>
      </c>
      <c r="H3" s="59" t="inlineStr">
        <is>
          <t>To test</t>
        </is>
      </c>
      <c r="I3" s="57" t="inlineStr">
        <is>
          <t>Medium</t>
        </is>
      </c>
      <c r="J3" s="57" t="inlineStr">
        <is>
          <t>Minor</t>
        </is>
      </c>
      <c r="K3" s="57" t="n"/>
      <c r="L3" s="57" t="n"/>
    </row>
    <row r="4" ht="15" customHeight="1" s="32">
      <c r="A4" s="57" t="inlineStr">
        <is>
          <t>AF-003</t>
        </is>
      </c>
      <c r="B4" s="57" t="inlineStr">
        <is>
          <t>Terms</t>
        </is>
      </c>
      <c r="C4" s="57" t="inlineStr">
        <is>
          <t>/affiliate/terms page (public)</t>
        </is>
      </c>
      <c r="D4" s="57" t="inlineStr">
        <is>
          <t>No account</t>
        </is>
      </c>
      <c r="E4" s="57" t="inlineStr">
        <is>
          <t>—</t>
        </is>
      </c>
      <c r="F4" s="57" t="inlineStr">
        <is>
          <t>1. /affiliate/terms.</t>
        </is>
      </c>
      <c r="G4" s="57" t="inlineStr">
        <is>
          <t>Terms publicly readable (before acceptance).</t>
        </is>
      </c>
      <c r="H4" s="58" t="inlineStr">
        <is>
          <t>Pass</t>
        </is>
      </c>
      <c r="I4" s="57" t="inlineStr">
        <is>
          <t>Medium</t>
        </is>
      </c>
      <c r="J4" s="57" t="inlineStr">
        <is>
          <t>Minor</t>
        </is>
      </c>
      <c r="K4" s="59" t="inlineStr">
        <is>
          <t>/affiliate/terms lisible sans compte, FR et EN.</t>
        </is>
      </c>
      <c r="L4" s="59" t="inlineStr">
        <is>
          <t>[Claude (Cowork) — 27/09/2026]</t>
        </is>
      </c>
    </row>
    <row r="5" ht="23.85" customHeight="1" s="32">
      <c r="A5" s="57" t="inlineStr">
        <is>
          <t>AF-004</t>
        </is>
      </c>
      <c r="B5" s="57" t="inlineStr">
        <is>
          <t>Dashboard</t>
        </is>
      </c>
      <c r="C5" s="57" t="inlineStr">
        <is>
          <t>/affiliate access (protected)</t>
        </is>
      </c>
      <c r="D5" s="57" t="inlineStr">
        <is>
          <t>Affiliate logged in</t>
        </is>
      </c>
      <c r="E5" s="57" t="inlineStr">
        <is>
          <t>Affiliate1</t>
        </is>
      </c>
      <c r="F5" s="57" t="inlineStr">
        <is>
          <t>1. /affiliate.</t>
        </is>
      </c>
      <c r="G5" s="57" t="inlineStr">
        <is>
          <t>Affiliate dashboard (sales, commissions, top products).</t>
        </is>
      </c>
      <c r="H5" s="59" t="inlineStr">
        <is>
          <t>To test</t>
        </is>
      </c>
      <c r="I5" s="57" t="inlineStr">
        <is>
          <t>High</t>
        </is>
      </c>
      <c r="J5" s="57" t="inlineStr">
        <is>
          <t>Major</t>
        </is>
      </c>
      <c r="K5" s="57" t="n"/>
      <c r="L5" s="57" t="n"/>
    </row>
    <row r="6" ht="23.85" customHeight="1" s="32">
      <c r="A6" s="57" t="inlineStr">
        <is>
          <t>AF-005</t>
        </is>
      </c>
      <c r="B6" s="57" t="inlineStr">
        <is>
          <t>Dashboard</t>
        </is>
      </c>
      <c r="C6" s="57" t="inlineStr">
        <is>
          <t>Top products (rank, qty, revenue)</t>
        </is>
      </c>
      <c r="D6" s="57" t="inlineStr">
        <is>
          <t>Affiliate with sales</t>
        </is>
      </c>
      <c r="E6" s="57" t="inlineStr">
        <is>
          <t>Affiliate1</t>
        </is>
      </c>
      <c r="F6" s="57" t="inlineStr">
        <is>
          <t>1. Open the 'Top products' widget.</t>
        </is>
      </c>
      <c r="G6" s="57" t="inlineStr">
        <is>
          <t>Rank 1/2/3 badges + quantity sold + revenue, FR/EN pluralization.</t>
        </is>
      </c>
      <c r="H6" s="59" t="inlineStr">
        <is>
          <t>To test</t>
        </is>
      </c>
      <c r="I6" s="57" t="inlineStr">
        <is>
          <t>Medium</t>
        </is>
      </c>
      <c r="J6" s="57" t="inlineStr">
        <is>
          <t>Minor</t>
        </is>
      </c>
      <c r="K6" s="57" t="n"/>
      <c r="L6" s="57" t="n"/>
    </row>
    <row r="7" ht="23.85" customHeight="1" s="32">
      <c r="A7" s="57" t="inlineStr">
        <is>
          <t>AF-006</t>
        </is>
      </c>
      <c r="B7" s="57" t="inlineStr">
        <is>
          <t>Dashboard</t>
        </is>
      </c>
      <c r="C7" s="57" t="inlineStr">
        <is>
          <t>Featured products fallback</t>
        </is>
      </c>
      <c r="D7" s="57" t="inlineStr">
        <is>
          <t>Affiliate with no sale</t>
        </is>
      </c>
      <c r="E7" s="57" t="inlineStr">
        <is>
          <t>Affiliate2</t>
        </is>
      </c>
      <c r="F7" s="57" t="inlineStr">
        <is>
          <t>1. Open dashboard.</t>
        </is>
      </c>
      <c r="G7" s="57" t="inlineStr">
        <is>
          <t>Falls back to /products?featured=true if no sales.</t>
        </is>
      </c>
      <c r="H7" s="59" t="inlineStr">
        <is>
          <t>To test</t>
        </is>
      </c>
      <c r="I7" s="57" t="inlineStr">
        <is>
          <t>Low</t>
        </is>
      </c>
      <c r="J7" s="57" t="inlineStr">
        <is>
          <t>Minor</t>
        </is>
      </c>
      <c r="K7" s="57" t="n"/>
      <c r="L7" s="57" t="n"/>
    </row>
    <row r="8" ht="23.85" customHeight="1" s="32">
      <c r="A8" s="57" t="inlineStr">
        <is>
          <t>AF-007</t>
        </is>
      </c>
      <c r="B8" s="57" t="inlineStr">
        <is>
          <t>Attribution</t>
        </is>
      </c>
      <c r="C8" s="57" t="inlineStr">
        <is>
          <t>Referral link ?ref=&lt;code&gt;</t>
        </is>
      </c>
      <c r="D8" s="57" t="inlineStr">
        <is>
          <t>Active affiliate code</t>
        </is>
      </c>
      <c r="E8" s="57" t="inlineStr">
        <is>
          <t>Client2 (+ Affiliate1 code)</t>
        </is>
      </c>
      <c r="F8" s="57" t="inlineStr">
        <is>
          <t>1. Open site with ?ref=CODE. 2. Order.</t>
        </is>
      </c>
      <c r="G8" s="57" t="inlineStr">
        <is>
          <t>Attribution recorded; active alias also accepted.</t>
        </is>
      </c>
      <c r="H8" s="59" t="inlineStr">
        <is>
          <t>To test</t>
        </is>
      </c>
      <c r="I8" s="57" t="inlineStr">
        <is>
          <t>High</t>
        </is>
      </c>
      <c r="J8" s="57" t="inlineStr">
        <is>
          <t>Major</t>
        </is>
      </c>
      <c r="K8" s="57" t="n"/>
      <c r="L8" s="57" t="n"/>
    </row>
    <row r="9" ht="23.85" customHeight="1" s="32">
      <c r="A9" s="57" t="inlineStr">
        <is>
          <t>AF-008</t>
        </is>
      </c>
      <c r="B9" s="57" t="inlineStr">
        <is>
          <t>Settings</t>
        </is>
      </c>
      <c r="C9" s="57" t="inlineStr">
        <is>
          <t>Payout config USDT/USDC ERC-20</t>
        </is>
      </c>
      <c r="D9" s="57" t="inlineStr">
        <is>
          <t>Affiliate logged in</t>
        </is>
      </c>
      <c r="E9" s="57" t="inlineStr">
        <is>
          <t>Affiliate1</t>
        </is>
      </c>
      <c r="F9" s="57" t="inlineStr">
        <is>
          <t>1. Enter an ERC-20 address.</t>
        </is>
      </c>
      <c r="G9" s="57" t="inlineStr">
        <is>
          <t>EIP-55 checksum validation (success/warning badge), currency limited to USDT/USDC.</t>
        </is>
      </c>
      <c r="H9" s="59" t="inlineStr">
        <is>
          <t>To test</t>
        </is>
      </c>
      <c r="I9" s="57" t="inlineStr">
        <is>
          <t>Medium</t>
        </is>
      </c>
      <c r="J9" s="57" t="inlineStr">
        <is>
          <t>Major</t>
        </is>
      </c>
      <c r="K9" s="57" t="n"/>
      <c r="L9" s="57" t="n"/>
    </row>
    <row r="10" ht="23.85" customHeight="1" s="32">
      <c r="A10" s="57" t="inlineStr">
        <is>
          <t>AF-009</t>
        </is>
      </c>
      <c r="B10" s="57" t="inlineStr">
        <is>
          <t>Settings</t>
        </is>
      </c>
      <c r="C10" s="57" t="inlineStr">
        <is>
          <t>Invalid Ethereum address</t>
        </is>
      </c>
      <c r="D10" s="57" t="inlineStr">
        <is>
          <t>Affiliate logged in</t>
        </is>
      </c>
      <c r="E10" s="57" t="inlineStr">
        <is>
          <t>Affiliate1</t>
        </is>
      </c>
      <c r="F10" s="57" t="inlineStr">
        <is>
          <t>1. Enter an invalid address.</t>
        </is>
      </c>
      <c r="G10" s="57" t="inlineStr">
        <is>
          <t>Clear inline error, not saved.</t>
        </is>
      </c>
      <c r="H10" s="59" t="inlineStr">
        <is>
          <t>To test</t>
        </is>
      </c>
      <c r="I10" s="57" t="inlineStr">
        <is>
          <t>Medium</t>
        </is>
      </c>
      <c r="J10" s="57" t="inlineStr">
        <is>
          <t>Minor</t>
        </is>
      </c>
      <c r="K10" s="57" t="n"/>
      <c r="L10" s="57" t="n"/>
    </row>
    <row r="11" ht="23.85" customHeight="1" s="32">
      <c r="A11" s="57" t="inlineStr">
        <is>
          <t>AF-010</t>
        </is>
      </c>
      <c r="B11" s="57" t="inlineStr">
        <is>
          <t>FAQ</t>
        </is>
      </c>
      <c r="C11" s="57" t="inlineStr">
        <is>
          <t>/affiliate/faq access (protected)</t>
        </is>
      </c>
      <c r="D11" s="57" t="inlineStr">
        <is>
          <t>Affiliate account</t>
        </is>
      </c>
      <c r="E11" s="57" t="inlineStr">
        <is>
          <t>Affiliate1</t>
        </is>
      </c>
      <c r="F11" s="57" t="inlineStr">
        <is>
          <t>1. /affiliate/faq.</t>
        </is>
      </c>
      <c r="G11" s="57" t="inlineStr">
        <is>
          <t>FAQ accessible to affiliates only.</t>
        </is>
      </c>
      <c r="H11" s="59" t="inlineStr">
        <is>
          <t>To test</t>
        </is>
      </c>
      <c r="I11" s="57" t="inlineStr">
        <is>
          <t>Low</t>
        </is>
      </c>
      <c r="J11" s="57" t="inlineStr">
        <is>
          <t>Minor</t>
        </is>
      </c>
      <c r="K11" s="57" t="n"/>
      <c r="L11" s="57" t="n"/>
    </row>
    <row r="12" ht="15" customHeight="1" s="32">
      <c r="A12" s="31" t="inlineStr">
        <is>
          <t>AF-011</t>
        </is>
      </c>
      <c r="B12" s="31" t="inlineStr">
        <is>
          <t>Dashboard</t>
        </is>
      </c>
      <c r="C12" s="31" t="inlineStr">
        <is>
          <t>Notification bell : badge, list, dismiss one / all</t>
        </is>
      </c>
      <c r="D12" s="31" t="inlineStr">
        <is>
          <t>Affiliate logged in, at least one notification</t>
        </is>
      </c>
      <c r="E12" s="31" t="inlineStr">
        <is>
          <t>Affiliate1</t>
        </is>
      </c>
      <c r="H12" s="64" t="inlineStr">
        <is>
          <t>To test</t>
        </is>
      </c>
    </row>
    <row r="13" ht="15" customHeight="1" s="32">
      <c r="A13" s="31" t="inlineStr">
        <is>
          <t>AF-012</t>
        </is>
      </c>
      <c r="B13" s="31" t="inlineStr">
        <is>
          <t>Dashboard</t>
        </is>
      </c>
      <c r="C13" s="31" t="inlineStr">
        <is>
          <t>Notification types : message (support reply) / palier (tier up) / paiement (payout setup)</t>
        </is>
      </c>
      <c r="D13" s="31" t="inlineStr">
        <is>
          <t>Affiliate account</t>
        </is>
      </c>
      <c r="E13" s="31" t="inlineStr">
        <is>
          <t>Affiliate1</t>
        </is>
      </c>
      <c r="H13" s="64" t="inlineStr">
        <is>
          <t>To test</t>
        </is>
      </c>
    </row>
    <row r="14" ht="15" customHeight="1" s="32">
      <c r="A14" s="31" t="inlineStr">
        <is>
          <t>AF-013</t>
        </is>
      </c>
      <c r="B14" s="31" t="inlineStr">
        <is>
          <t>Dashboard</t>
        </is>
      </c>
      <c r="C14" s="31" t="inlineStr">
        <is>
          <t>Account menu : customer account link, dark mode, logout</t>
        </is>
      </c>
      <c r="D14" s="31" t="inlineStr">
        <is>
          <t>Affiliate logged in</t>
        </is>
      </c>
      <c r="E14" s="31" t="inlineStr">
        <is>
          <t>Affiliate1</t>
        </is>
      </c>
      <c r="H14" s="64" t="inlineStr">
        <is>
          <t>To test</t>
        </is>
      </c>
    </row>
    <row r="15" ht="15" customHeight="1" s="32">
      <c r="A15" s="31" t="inlineStr">
        <is>
          <t>AF-014</t>
        </is>
      </c>
      <c r="B15" s="31" t="inlineStr">
        <is>
          <t>Dashboard</t>
        </is>
      </c>
      <c r="C15" s="31" t="inlineStr">
        <is>
          <t>FAQ tab in the menu (after Help) + menu also on the FAQ page</t>
        </is>
      </c>
      <c r="D15" s="31" t="inlineStr">
        <is>
          <t>Affiliate logged in</t>
        </is>
      </c>
      <c r="E15" s="31" t="inlineStr">
        <is>
          <t>Affiliate1</t>
        </is>
      </c>
      <c r="H15" s="64" t="inlineStr">
        <is>
          <t>To test</t>
        </is>
      </c>
    </row>
    <row r="16" ht="15" customHeight="1" s="32">
      <c r="A16" s="31" t="inlineStr">
        <is>
          <t>AF-015</t>
        </is>
      </c>
      <c r="B16" s="31" t="inlineStr">
        <is>
          <t>Dashboard</t>
        </is>
      </c>
      <c r="C16" s="31" t="inlineStr">
        <is>
          <t>Two-moment card : 'Vos ventes' (12 months) and 'Vos ventes au 1er' (forecast) with the two amounts below the forecast</t>
        </is>
      </c>
      <c r="D16" s="31" t="inlineStr">
        <is>
          <t>Affiliate with sales</t>
        </is>
      </c>
      <c r="E16" s="31" t="inlineStr">
        <is>
          <t>Affiliate1</t>
        </is>
      </c>
      <c r="H16" s="64" t="inlineStr">
        <is>
          <t>To test</t>
        </is>
      </c>
    </row>
    <row r="17" ht="15" customHeight="1" s="32">
      <c r="A17" s="31" t="inlineStr">
        <is>
          <t>AF-016</t>
        </is>
      </c>
      <c r="B17" s="31" t="inlineStr">
        <is>
          <t>Dashboard</t>
        </is>
      </c>
      <c r="C17" s="31" t="inlineStr">
        <is>
          <t>Chart anchored to the tier rhythm : a month at 2x the rhythm is capped with a chevron, never a new scale</t>
        </is>
      </c>
      <c r="D17" s="31" t="inlineStr">
        <is>
          <t>Affiliate with sales</t>
        </is>
      </c>
      <c r="E17" s="31" t="inlineStr">
        <is>
          <t>Affiliate1</t>
        </is>
      </c>
      <c r="H17" s="64" t="inlineStr">
        <is>
          <t>To test</t>
        </is>
      </c>
    </row>
    <row r="18" ht="15" customHeight="1" s="32">
      <c r="A18" s="31" t="inlineStr">
        <is>
          <t>AF-017</t>
        </is>
      </c>
      <c r="B18" s="31" t="inlineStr">
        <is>
          <t>Auth</t>
        </is>
      </c>
      <c r="C18" s="31" t="inlineStr">
        <is>
          <t>Magic link redirects an affiliate to /affiliate (no specific target)</t>
        </is>
      </c>
      <c r="D18" s="31" t="inlineStr">
        <is>
          <t>Affiliate logs in</t>
        </is>
      </c>
      <c r="E18" s="31" t="inlineStr">
        <is>
          <t>Affiliate1</t>
        </is>
      </c>
      <c r="H18" s="64" t="inlineStr">
        <is>
          <t>To test</t>
        </is>
      </c>
    </row>
    <row r="19" ht="15" customHeight="1" s="32">
      <c r="A19" s="31" t="inlineStr">
        <is>
          <t>AF-018</t>
        </is>
      </c>
      <c r="B19" s="31" t="inlineStr">
        <is>
          <t>Dashboard</t>
        </is>
      </c>
      <c r="C19" s="31" t="inlineStr">
        <is>
          <t>Invitation wall for a logged-in NON-affiliate : 'signed in but not part of the program' + account button</t>
        </is>
      </c>
      <c r="D19" s="31" t="inlineStr">
        <is>
          <t>Customer logged in, opens /affiliate</t>
        </is>
      </c>
      <c r="E19" s="31" t="inlineStr">
        <is>
          <t>Client1</t>
        </is>
      </c>
      <c r="H19" s="64" t="inlineStr">
        <is>
          <t>To test</t>
        </is>
      </c>
    </row>
    <row r="20" ht="15" customHeight="1" s="32">
      <c r="A20" s="31" t="inlineStr">
        <is>
          <t>AF-019</t>
        </is>
      </c>
      <c r="B20" s="31" t="inlineStr">
        <is>
          <t>Settings</t>
        </is>
      </c>
      <c r="C20" s="31" t="inlineStr">
        <is>
          <t>Payout-setup reminder : bell notification + email ~5 days before month end</t>
        </is>
      </c>
      <c r="D20" s="31" t="inlineStr">
        <is>
          <t>Commissions &gt;= $25 threshold, no payout address</t>
        </is>
      </c>
      <c r="E20" s="31" t="inlineStr">
        <is>
          <t>Payout affiliate</t>
        </is>
      </c>
      <c r="H20" s="64" t="inlineStr">
        <is>
          <t>To test</t>
        </is>
      </c>
    </row>
    <row r="21" ht="15" customHeight="1" s="32">
      <c r="A21" s="31" t="inlineStr">
        <is>
          <t>AF-020</t>
        </is>
      </c>
      <c r="B21" s="31" t="inlineStr">
        <is>
          <t>Dashboard</t>
        </is>
      </c>
      <c r="C21" s="31" t="inlineStr">
        <is>
          <t>Dark mode : card stays navy, amounts visible, no white panels</t>
        </is>
      </c>
      <c r="D21" s="31" t="inlineStr">
        <is>
          <t>Affiliate logged in, dark mode on</t>
        </is>
      </c>
      <c r="E21" s="31" t="inlineStr">
        <is>
          <t>Affiliate1</t>
        </is>
      </c>
      <c r="H21" s="64" t="inlineStr">
        <is>
          <t>To test</t>
        </is>
      </c>
    </row>
    <row r="22" ht="15" customHeight="1" s="32">
      <c r="A22" s="31" t="inlineStr">
        <is>
          <t>AF-021</t>
        </is>
      </c>
      <c r="B22" s="31" t="inlineStr">
        <is>
          <t>Dashboard</t>
        </is>
      </c>
      <c r="C22" s="31" t="inlineStr">
        <is>
          <t>Mobile (360-768 px) : card full width, sections stacked, full-size chart</t>
        </is>
      </c>
      <c r="D22" s="31" t="inlineStr">
        <is>
          <t>Affiliate logged in, phone</t>
        </is>
      </c>
      <c r="E22" s="31" t="inlineStr">
        <is>
          <t>Affiliate1</t>
        </is>
      </c>
      <c r="H22" s="64" t="inlineStr">
        <is>
          <t>To test</t>
        </is>
      </c>
    </row>
  </sheetData>
  <autoFilter ref="A1:L11"/>
  <dataValidations count="1">
    <dataValidation sqref="H2:H61"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3E5C76"/>
    <outlinePr summaryBelow="1" summaryRight="1"/>
    <pageSetUpPr fitToPage="0"/>
  </sheetPr>
  <dimension ref="A1:L14"/>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1" min="1" max="2"/>
    <col width="32" customWidth="1" style="31" min="3" max="3"/>
    <col width="19" customWidth="1" style="31" min="4" max="4"/>
    <col width="12" customWidth="1" style="31" min="5" max="5"/>
    <col width="20" customWidth="1" style="31" min="6" max="6"/>
    <col width="35" customWidth="1" style="31" min="7" max="7"/>
    <col width="10" customWidth="1" style="31" min="8" max="10"/>
    <col width="55" customWidth="1" style="31" min="11" max="12"/>
  </cols>
  <sheetData>
    <row r="1" ht="27.75" customHeight="1" s="32">
      <c r="A1" s="56" t="inlineStr">
        <is>
          <t>ID</t>
        </is>
      </c>
      <c r="B1" s="56" t="inlineStr">
        <is>
          <t>Module</t>
        </is>
      </c>
      <c r="C1" s="56" t="inlineStr">
        <is>
          <t>Test case / Scenario</t>
        </is>
      </c>
      <c r="D1" s="56" t="inlineStr">
        <is>
          <t>Preconditions / Data</t>
        </is>
      </c>
      <c r="E1" s="56" t="inlineStr">
        <is>
          <t>Account required</t>
        </is>
      </c>
      <c r="F1" s="56" t="inlineStr">
        <is>
          <t>Steps</t>
        </is>
      </c>
      <c r="G1" s="56" t="inlineStr">
        <is>
          <t>Expected result</t>
        </is>
      </c>
      <c r="H1" s="56" t="inlineStr">
        <is>
          <t>Status</t>
        </is>
      </c>
      <c r="I1" s="56" t="inlineStr">
        <is>
          <t>Priority</t>
        </is>
      </c>
      <c r="J1" s="56" t="inlineStr">
        <is>
          <t>Severity</t>
        </is>
      </c>
      <c r="K1" s="56" t="inlineStr">
        <is>
          <t>Actual result</t>
        </is>
      </c>
      <c r="L1" s="56" t="inlineStr">
        <is>
          <t>Comments</t>
        </is>
      </c>
    </row>
    <row r="2" ht="23.85" customHeight="1" s="32">
      <c r="A2" s="57" t="inlineStr">
        <is>
          <t>AD-001</t>
        </is>
      </c>
      <c r="B2" s="57" t="inlineStr">
        <is>
          <t>Access</t>
        </is>
      </c>
      <c r="C2" s="57" t="inlineStr">
        <is>
          <t>Secret admin path</t>
        </is>
      </c>
      <c r="D2" s="57" t="inlineStr">
        <is>
          <t>Admin account</t>
        </is>
      </c>
      <c r="E2" s="57" t="inlineStr">
        <is>
          <t>Admin</t>
        </is>
      </c>
      <c r="F2" s="57" t="inlineStr">
        <is>
          <t>1. /ops-portal-fn7k2q.</t>
        </is>
      </c>
      <c r="G2" s="57" t="inlineStr">
        <is>
          <t>Admin portal loads (admin gate + protected route).</t>
        </is>
      </c>
      <c r="H2" s="59" t="inlineStr">
        <is>
          <t>To test</t>
        </is>
      </c>
      <c r="I2" s="57" t="inlineStr">
        <is>
          <t>High</t>
        </is>
      </c>
      <c r="J2" s="57" t="inlineStr">
        <is>
          <t>Blocker</t>
        </is>
      </c>
      <c r="K2" s="57" t="n"/>
      <c r="L2" s="57" t="n"/>
    </row>
    <row r="3" ht="15" customHeight="1" s="32">
      <c r="A3" s="57" t="inlineStr">
        <is>
          <t>AD-002</t>
        </is>
      </c>
      <c r="B3" s="57" t="inlineStr">
        <is>
          <t>Access</t>
        </is>
      </c>
      <c r="C3" s="57" t="inlineStr">
        <is>
          <t>/admin and /ops aliases redirect</t>
        </is>
      </c>
      <c r="D3" s="57" t="inlineStr">
        <is>
          <t>Admin account</t>
        </is>
      </c>
      <c r="E3" s="57" t="inlineStr">
        <is>
          <t>Admin</t>
        </is>
      </c>
      <c r="F3" s="57" t="inlineStr">
        <is>
          <t>1. /admin and /ops.</t>
        </is>
      </c>
      <c r="G3" s="57" t="inlineStr">
        <is>
          <t>Redirect to the secret admin path.</t>
        </is>
      </c>
      <c r="H3" s="59" t="inlineStr">
        <is>
          <t>To test</t>
        </is>
      </c>
      <c r="I3" s="57" t="inlineStr">
        <is>
          <t>Low</t>
        </is>
      </c>
      <c r="J3" s="57" t="inlineStr">
        <is>
          <t>Minor</t>
        </is>
      </c>
      <c r="K3" s="57" t="n"/>
      <c r="L3" s="57" t="n"/>
    </row>
    <row r="4" ht="23.85" customHeight="1" s="32">
      <c r="A4" s="57" t="inlineStr">
        <is>
          <t>AD-003</t>
        </is>
      </c>
      <c r="B4" s="57" t="inlineStr">
        <is>
          <t>Access</t>
        </is>
      </c>
      <c r="C4" s="57" t="inlineStr">
        <is>
          <t>Non-admin denied</t>
        </is>
      </c>
      <c r="D4" s="57" t="inlineStr">
        <is>
          <t>Customer account</t>
        </is>
      </c>
      <c r="E4" s="57" t="inlineStr">
        <is>
          <t>Client1</t>
        </is>
      </c>
      <c r="F4" s="57" t="inlineStr">
        <is>
          <t>1. Try to open admin.</t>
        </is>
      </c>
      <c r="G4" s="57" t="inlineStr">
        <is>
          <t>Access denied / redirected (AdminGate).</t>
        </is>
      </c>
      <c r="H4" s="59" t="inlineStr">
        <is>
          <t>To test</t>
        </is>
      </c>
      <c r="I4" s="57" t="inlineStr">
        <is>
          <t>High</t>
        </is>
      </c>
      <c r="J4" s="57" t="inlineStr">
        <is>
          <t>Blocker</t>
        </is>
      </c>
      <c r="K4" s="57" t="n"/>
      <c r="L4" s="57" t="n"/>
    </row>
    <row r="5" ht="35.05" customHeight="1" s="32">
      <c r="A5" s="57" t="inlineStr">
        <is>
          <t>AD-004</t>
        </is>
      </c>
      <c r="B5" s="57" t="inlineStr">
        <is>
          <t>Layout</t>
        </is>
      </c>
      <c r="C5" s="57" t="inlineStr">
        <is>
          <t>Grouped sidebar (Sales/Catalog/Fulfillment/Growth/System)</t>
        </is>
      </c>
      <c r="D5" s="57" t="inlineStr">
        <is>
          <t>Admin logged in</t>
        </is>
      </c>
      <c r="E5" s="57" t="inlineStr">
        <is>
          <t>Admin</t>
        </is>
      </c>
      <c r="F5" s="57" t="inlineStr">
        <is>
          <t>1. Check the sidebar.</t>
        </is>
      </c>
      <c r="G5" s="57" t="inlineStr">
        <is>
          <t>Groups/items visible by permission, signal badges.</t>
        </is>
      </c>
      <c r="H5" s="59" t="inlineStr">
        <is>
          <t>To test</t>
        </is>
      </c>
      <c r="I5" s="57" t="inlineStr">
        <is>
          <t>High</t>
        </is>
      </c>
      <c r="J5" s="57" t="inlineStr">
        <is>
          <t>Major</t>
        </is>
      </c>
      <c r="K5" s="57" t="n"/>
      <c r="L5" s="57" t="n"/>
    </row>
    <row r="6" ht="23.85" customHeight="1" s="32">
      <c r="A6" s="57" t="inlineStr">
        <is>
          <t>AD-005</t>
        </is>
      </c>
      <c r="B6" s="57" t="inlineStr">
        <is>
          <t>Layout</t>
        </is>
      </c>
      <c r="C6" s="57" t="inlineStr">
        <is>
          <t>Collapsible menu + persistence</t>
        </is>
      </c>
      <c r="D6" s="57" t="inlineStr">
        <is>
          <t>Admin logged in</t>
        </is>
      </c>
      <c r="E6" s="57" t="inlineStr">
        <is>
          <t>Admin</t>
        </is>
      </c>
      <c r="F6" s="57" t="inlineStr">
        <is>
          <t>1. Collapse menu. 2. Reload.</t>
        </is>
      </c>
      <c r="G6" s="57" t="inlineStr">
        <is>
          <t>Menu stays collapsed (localStorage).</t>
        </is>
      </c>
      <c r="H6" s="59" t="inlineStr">
        <is>
          <t>To test</t>
        </is>
      </c>
      <c r="I6" s="57" t="inlineStr">
        <is>
          <t>Low</t>
        </is>
      </c>
      <c r="J6" s="57" t="inlineStr">
        <is>
          <t>Minor</t>
        </is>
      </c>
      <c r="K6" s="57" t="n"/>
      <c r="L6" s="57" t="n"/>
    </row>
    <row r="7" ht="23.85" customHeight="1" s="32">
      <c r="A7" s="57" t="inlineStr">
        <is>
          <t>AD-006</t>
        </is>
      </c>
      <c r="B7" s="57" t="inlineStr">
        <is>
          <t>Layout</t>
        </is>
      </c>
      <c r="C7" s="57" t="inlineStr">
        <is>
          <t>Search palette Ctrl+K / '/'</t>
        </is>
      </c>
      <c r="D7" s="57" t="inlineStr">
        <is>
          <t>Admin logged in</t>
        </is>
      </c>
      <c r="E7" s="57" t="inlineStr">
        <is>
          <t>Admin</t>
        </is>
      </c>
      <c r="F7" s="57" t="inlineStr">
        <is>
          <t>1. Ctrl+K then '/'.</t>
        </is>
      </c>
      <c r="G7" s="57" t="inlineStr">
        <is>
          <t>Search palette opens; '/' does not steal keystrokes in a field.</t>
        </is>
      </c>
      <c r="H7" s="59" t="inlineStr">
        <is>
          <t>To test</t>
        </is>
      </c>
      <c r="I7" s="57" t="inlineStr">
        <is>
          <t>Low</t>
        </is>
      </c>
      <c r="J7" s="57" t="inlineStr">
        <is>
          <t>Minor</t>
        </is>
      </c>
      <c r="K7" s="57" t="n"/>
      <c r="L7" s="57" t="n"/>
    </row>
    <row r="8" ht="23.85" customHeight="1" s="32">
      <c r="A8" s="57" t="inlineStr">
        <is>
          <t>AD-007</t>
        </is>
      </c>
      <c r="B8" s="57" t="inlineStr">
        <is>
          <t>Layout</t>
        </is>
      </c>
      <c r="C8" s="57" t="inlineStr">
        <is>
          <t>Breadcrumb + avatar</t>
        </is>
      </c>
      <c r="D8" s="57" t="inlineStr">
        <is>
          <t>Admin logged in</t>
        </is>
      </c>
      <c r="E8" s="57" t="inlineStr">
        <is>
          <t>Admin</t>
        </is>
      </c>
      <c r="F8" s="57" t="inlineStr">
        <is>
          <t>1. Navigate between screens.</t>
        </is>
      </c>
      <c r="G8" s="57" t="inlineStr">
        <is>
          <t>Breadcrumb reflects current screen, avatar with initials.</t>
        </is>
      </c>
      <c r="H8" s="59" t="inlineStr">
        <is>
          <t>To test</t>
        </is>
      </c>
      <c r="I8" s="57" t="inlineStr">
        <is>
          <t>Low</t>
        </is>
      </c>
      <c r="J8" s="57" t="inlineStr">
        <is>
          <t>Minor</t>
        </is>
      </c>
      <c r="K8" s="57" t="n"/>
      <c r="L8" s="57" t="n"/>
    </row>
    <row r="9" ht="23.85" customHeight="1" s="32">
      <c r="A9" s="57" t="inlineStr">
        <is>
          <t>AD-008</t>
        </is>
      </c>
      <c r="B9" s="57" t="inlineStr">
        <is>
          <t>Dashboard</t>
        </is>
      </c>
      <c r="C9" s="57" t="inlineStr">
        <is>
          <t>KPI cards (Revenue, Orders, Customers, Products)</t>
        </is>
      </c>
      <c r="D9" s="57" t="inlineStr">
        <is>
          <t>Admin logged in</t>
        </is>
      </c>
      <c r="E9" s="57" t="inlineStr">
        <is>
          <t>Admin</t>
        </is>
      </c>
      <c r="F9" s="57" t="inlineStr">
        <is>
          <t>1. Open dashboard.</t>
        </is>
      </c>
      <c r="G9" s="57" t="inlineStr">
        <is>
          <t>4 KPI cards with consistent values + low-stock flag.</t>
        </is>
      </c>
      <c r="H9" s="59" t="inlineStr">
        <is>
          <t>To test</t>
        </is>
      </c>
      <c r="I9" s="57" t="inlineStr">
        <is>
          <t>High</t>
        </is>
      </c>
      <c r="J9" s="57" t="inlineStr">
        <is>
          <t>Major</t>
        </is>
      </c>
      <c r="K9" s="57" t="n"/>
      <c r="L9" s="57" t="n"/>
    </row>
    <row r="10" ht="23.85" customHeight="1" s="32">
      <c r="A10" s="57" t="inlineStr">
        <is>
          <t>AD-009</t>
        </is>
      </c>
      <c r="B10" s="57" t="inlineStr">
        <is>
          <t>Dashboard</t>
        </is>
      </c>
      <c r="C10" s="57" t="inlineStr">
        <is>
          <t>30-day revenue chart + top products</t>
        </is>
      </c>
      <c r="D10" s="57" t="inlineStr">
        <is>
          <t>Admin logged in</t>
        </is>
      </c>
      <c r="E10" s="57" t="inlineStr">
        <is>
          <t>Admin</t>
        </is>
      </c>
      <c r="F10" s="57" t="inlineStr">
        <is>
          <t>1. Check charts.</t>
        </is>
      </c>
      <c r="G10" s="57" t="inlineStr">
        <is>
          <t>30-day bar chart, top products, recent orders shown.</t>
        </is>
      </c>
      <c r="H10" s="59" t="inlineStr">
        <is>
          <t>To test</t>
        </is>
      </c>
      <c r="I10" s="57" t="inlineStr">
        <is>
          <t>Medium</t>
        </is>
      </c>
      <c r="J10" s="57" t="inlineStr">
        <is>
          <t>Minor</t>
        </is>
      </c>
      <c r="K10" s="57" t="n"/>
      <c r="L10" s="57" t="n"/>
    </row>
    <row r="11" ht="23.85" customHeight="1" s="32">
      <c r="A11" s="57" t="inlineStr">
        <is>
          <t>AD-010</t>
        </is>
      </c>
      <c r="B11" s="57" t="inlineStr">
        <is>
          <t>Notifications</t>
        </is>
      </c>
      <c r="C11" s="57" t="inlineStr">
        <is>
          <t>Bell + alert counters</t>
        </is>
      </c>
      <c r="D11" s="57" t="inlineStr">
        <is>
          <t>Admin logged in, active signals</t>
        </is>
      </c>
      <c r="E11" s="57" t="inlineStr">
        <is>
          <t>Admin</t>
        </is>
      </c>
      <c r="F11" s="57" t="inlineStr">
        <is>
          <t>1. Open bell. 2. Handle an item.</t>
        </is>
      </c>
      <c r="G11" s="57" t="inlineStr">
        <is>
          <t>Counters refreshed (60 s, screen change, tab return).</t>
        </is>
      </c>
      <c r="H11" s="59" t="inlineStr">
        <is>
          <t>To test</t>
        </is>
      </c>
      <c r="I11" s="57" t="inlineStr">
        <is>
          <t>Medium</t>
        </is>
      </c>
      <c r="J11" s="57" t="inlineStr">
        <is>
          <t>Minor</t>
        </is>
      </c>
      <c r="K11" s="57" t="n"/>
      <c r="L11" s="57" t="n"/>
    </row>
    <row r="12" ht="23.85" customHeight="1" s="32">
      <c r="A12" s="57" t="inlineStr">
        <is>
          <t>AD-011</t>
        </is>
      </c>
      <c r="B12" s="57" t="inlineStr">
        <is>
          <t>Notifications</t>
        </is>
      </c>
      <c r="C12" s="57" t="inlineStr">
        <is>
          <t>Low-stock badge on Products</t>
        </is>
      </c>
      <c r="D12" s="57" t="inlineStr">
        <is>
          <t>Stock below threshold</t>
        </is>
      </c>
      <c r="E12" s="57" t="inlineStr">
        <is>
          <t>Admin</t>
        </is>
      </c>
      <c r="F12" s="57" t="inlineStr">
        <is>
          <t>1. Observe Products entry.</t>
        </is>
      </c>
      <c r="G12" s="57" t="inlineStr">
        <is>
          <t>Red badge with low-stock alert count.</t>
        </is>
      </c>
      <c r="H12" s="59" t="inlineStr">
        <is>
          <t>To test</t>
        </is>
      </c>
      <c r="I12" s="57" t="inlineStr">
        <is>
          <t>Medium</t>
        </is>
      </c>
      <c r="J12" s="57" t="inlineStr">
        <is>
          <t>Minor</t>
        </is>
      </c>
      <c r="K12" s="57" t="n"/>
      <c r="L12" s="57" t="n"/>
    </row>
    <row r="13" ht="23.85" customHeight="1" s="32">
      <c r="A13" s="57" t="inlineStr">
        <is>
          <t>AD-012</t>
        </is>
      </c>
      <c r="B13" s="57" t="inlineStr">
        <is>
          <t>Dashboard</t>
        </is>
      </c>
      <c r="C13" s="57" t="inlineStr">
        <is>
          <t>Pending manifest alert</t>
        </is>
      </c>
      <c r="D13" s="57" t="inlineStr">
        <is>
          <t>pending_manifest &gt; 0</t>
        </is>
      </c>
      <c r="E13" s="57" t="inlineStr">
        <is>
          <t>Admin</t>
        </is>
      </c>
      <c r="F13" s="57" t="inlineStr">
        <is>
          <t>1. Observe the red banner.</t>
        </is>
      </c>
      <c r="G13" s="57" t="inlineStr">
        <is>
          <t>'X label(s) not transmitted' banner + Dispatch link.</t>
        </is>
      </c>
      <c r="H13" s="59" t="inlineStr">
        <is>
          <t>To test</t>
        </is>
      </c>
      <c r="I13" s="57" t="inlineStr">
        <is>
          <t>Medium</t>
        </is>
      </c>
      <c r="J13" s="57" t="inlineStr">
        <is>
          <t>Minor</t>
        </is>
      </c>
      <c r="K13" s="57" t="n"/>
      <c r="L13" s="57" t="n"/>
    </row>
    <row r="14" ht="23.85" customHeight="1" s="32">
      <c r="A14" s="57" t="inlineStr">
        <is>
          <t>AD-013</t>
        </is>
      </c>
      <c r="B14" s="57" t="inlineStr">
        <is>
          <t>Dark mode</t>
        </is>
      </c>
      <c r="C14" s="57" t="inlineStr">
        <is>
          <t>Admin dark theme</t>
        </is>
      </c>
      <c r="D14" s="57" t="inlineStr">
        <is>
          <t>Admin logged in</t>
        </is>
      </c>
      <c r="E14" s="57" t="inlineStr">
        <is>
          <t>Admin</t>
        </is>
      </c>
      <c r="F14" s="57" t="inlineStr">
        <is>
          <t>1. Toggle theme.</t>
        </is>
      </c>
      <c r="G14" s="57" t="inlineStr">
        <is>
          <t>Admin UI in readable dark mode.</t>
        </is>
      </c>
      <c r="H14" s="59" t="inlineStr">
        <is>
          <t>To test</t>
        </is>
      </c>
      <c r="I14" s="57" t="inlineStr">
        <is>
          <t>Low</t>
        </is>
      </c>
      <c r="J14" s="57" t="inlineStr">
        <is>
          <t>Minor</t>
        </is>
      </c>
      <c r="K14" s="57" t="n"/>
      <c r="L14" s="57" t="n"/>
    </row>
  </sheetData>
  <autoFilter ref="A1:L14"/>
  <dataValidations count="1">
    <dataValidation sqref="H2:H64"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3E5C76"/>
    <outlinePr summaryBelow="1" summaryRight="1"/>
    <pageSetUpPr fitToPage="0"/>
  </sheetPr>
  <dimension ref="A1:L1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1" min="1" max="1"/>
    <col width="12" customWidth="1" style="31" min="2" max="2"/>
    <col width="20" customWidth="1" style="31" min="3" max="3"/>
    <col width="19" customWidth="1" style="31" min="4" max="4"/>
    <col width="12" customWidth="1" style="31" min="5" max="5"/>
    <col width="32" customWidth="1" style="31" min="6" max="6"/>
    <col width="46" customWidth="1" style="31" min="7" max="7"/>
    <col width="10" customWidth="1" style="31" min="8" max="10"/>
    <col width="55" customWidth="1" style="31" min="11" max="12"/>
  </cols>
  <sheetData>
    <row r="1" ht="27.75" customHeight="1" s="32">
      <c r="A1" s="56" t="inlineStr">
        <is>
          <t>ID</t>
        </is>
      </c>
      <c r="B1" s="56" t="inlineStr">
        <is>
          <t>Module</t>
        </is>
      </c>
      <c r="C1" s="56" t="inlineStr">
        <is>
          <t>Test case / Scenario</t>
        </is>
      </c>
      <c r="D1" s="56" t="inlineStr">
        <is>
          <t>Preconditions / Data</t>
        </is>
      </c>
      <c r="E1" s="56" t="inlineStr">
        <is>
          <t>Account required</t>
        </is>
      </c>
      <c r="F1" s="56" t="inlineStr">
        <is>
          <t>Steps</t>
        </is>
      </c>
      <c r="G1" s="56" t="inlineStr">
        <is>
          <t>Expected result</t>
        </is>
      </c>
      <c r="H1" s="56" t="inlineStr">
        <is>
          <t>Status</t>
        </is>
      </c>
      <c r="I1" s="56" t="inlineStr">
        <is>
          <t>Priority</t>
        </is>
      </c>
      <c r="J1" s="56" t="inlineStr">
        <is>
          <t>Severity</t>
        </is>
      </c>
      <c r="K1" s="56" t="inlineStr">
        <is>
          <t>Actual result</t>
        </is>
      </c>
      <c r="L1" s="56" t="inlineStr">
        <is>
          <t>Comments</t>
        </is>
      </c>
    </row>
    <row r="2" ht="23.85" customHeight="1" s="32">
      <c r="A2" s="57" t="inlineStr">
        <is>
          <t>CO-001</t>
        </is>
      </c>
      <c r="B2" s="57" t="inlineStr">
        <is>
          <t>Orders</t>
        </is>
      </c>
      <c r="C2" s="57" t="inlineStr">
        <is>
          <t>List + filters</t>
        </is>
      </c>
      <c r="D2" s="57" t="inlineStr">
        <is>
          <t>Existing orders</t>
        </is>
      </c>
      <c r="E2" s="57" t="inlineStr">
        <is>
          <t>Admin</t>
        </is>
      </c>
      <c r="F2" s="57" t="inlineStr">
        <is>
          <t>1. Open Orders. 2. Filter (search, payment, fulfillment).</t>
        </is>
      </c>
      <c r="G2" s="57" t="inlineStr">
        <is>
          <t>List filtered correctly.</t>
        </is>
      </c>
      <c r="H2" s="59" t="inlineStr">
        <is>
          <t>To test</t>
        </is>
      </c>
      <c r="I2" s="57" t="inlineStr">
        <is>
          <t>High</t>
        </is>
      </c>
      <c r="J2" s="57" t="inlineStr">
        <is>
          <t>Major</t>
        </is>
      </c>
      <c r="K2" s="57" t="n"/>
      <c r="L2" s="57" t="n"/>
    </row>
    <row r="3" ht="15" customHeight="1" s="32">
      <c r="A3" s="57" t="inlineStr">
        <is>
          <t>CO-002</t>
        </is>
      </c>
      <c r="B3" s="57" t="inlineStr">
        <is>
          <t>Orders</t>
        </is>
      </c>
      <c r="C3" s="57" t="inlineStr">
        <is>
          <t>CSV export</t>
        </is>
      </c>
      <c r="D3" s="57" t="inlineStr">
        <is>
          <t>Existing orders</t>
        </is>
      </c>
      <c r="E3" s="57" t="inlineStr">
        <is>
          <t>Admin</t>
        </is>
      </c>
      <c r="F3" s="57" t="inlineStr">
        <is>
          <t>1. Click 'Export CSV'.</t>
        </is>
      </c>
      <c r="G3" s="57" t="inlineStr">
        <is>
          <t>orders.csv downloaded with correct data.</t>
        </is>
      </c>
      <c r="H3" s="59" t="inlineStr">
        <is>
          <t>To test</t>
        </is>
      </c>
      <c r="I3" s="57" t="inlineStr">
        <is>
          <t>Medium</t>
        </is>
      </c>
      <c r="J3" s="57" t="inlineStr">
        <is>
          <t>Minor</t>
        </is>
      </c>
      <c r="K3" s="57" t="n"/>
      <c r="L3" s="57" t="n"/>
    </row>
    <row r="4" ht="15" customHeight="1" s="32">
      <c r="A4" s="57" t="inlineStr">
        <is>
          <t>CO-003</t>
        </is>
      </c>
      <c r="B4" s="57" t="inlineStr">
        <is>
          <t>Orders</t>
        </is>
      </c>
      <c r="C4" s="57" t="inlineStr">
        <is>
          <t>Order detail drawer</t>
        </is>
      </c>
      <c r="D4" s="57" t="inlineStr">
        <is>
          <t>Existing order</t>
        </is>
      </c>
      <c r="E4" s="57" t="inlineStr">
        <is>
          <t>Admin</t>
        </is>
      </c>
      <c r="F4" s="57" t="inlineStr">
        <is>
          <t>1. Click an order.</t>
        </is>
      </c>
      <c r="G4" s="57" t="inlineStr">
        <is>
          <t>Drawer with items, statuses, notes, actions.</t>
        </is>
      </c>
      <c r="H4" s="59" t="inlineStr">
        <is>
          <t>To test</t>
        </is>
      </c>
      <c r="I4" s="57" t="inlineStr">
        <is>
          <t>High</t>
        </is>
      </c>
      <c r="J4" s="57" t="inlineStr">
        <is>
          <t>Major</t>
        </is>
      </c>
      <c r="K4" s="57" t="n"/>
      <c r="L4" s="57" t="n"/>
    </row>
    <row r="5" ht="35.05" customHeight="1" s="32">
      <c r="A5" s="57" t="inlineStr">
        <is>
          <t>CO-004</t>
        </is>
      </c>
      <c r="B5" s="57" t="inlineStr">
        <is>
          <t>Orders</t>
        </is>
      </c>
      <c r="C5" s="57" t="inlineStr">
        <is>
          <t>Confirm payment (Interac/crypto)</t>
        </is>
      </c>
      <c r="D5" s="57" t="inlineStr">
        <is>
          <t>Order awaiting_etransfer/crypto</t>
        </is>
      </c>
      <c r="E5" s="57" t="inlineStr">
        <is>
          <t>Admin</t>
        </is>
      </c>
      <c r="F5" s="57" t="inlineStr">
        <is>
          <t>1. Click 'Confirm payment'.</t>
        </is>
      </c>
      <c r="G5" s="57" t="inlineStr">
        <is>
          <t>Order → paid + processing, email sent, coupon usage incremented.</t>
        </is>
      </c>
      <c r="H5" s="59" t="inlineStr">
        <is>
          <t>To test</t>
        </is>
      </c>
      <c r="I5" s="57" t="inlineStr">
        <is>
          <t>High</t>
        </is>
      </c>
      <c r="J5" s="57" t="inlineStr">
        <is>
          <t>Blocker</t>
        </is>
      </c>
      <c r="K5" s="57" t="n"/>
      <c r="L5" s="57" t="n"/>
    </row>
    <row r="6" ht="15" customHeight="1" s="32">
      <c r="A6" s="57" t="inlineStr">
        <is>
          <t>CO-005</t>
        </is>
      </c>
      <c r="B6" s="57" t="inlineStr">
        <is>
          <t>Orders</t>
        </is>
      </c>
      <c r="C6" s="57" t="inlineStr">
        <is>
          <t>Internal notes</t>
        </is>
      </c>
      <c r="D6" s="57" t="inlineStr">
        <is>
          <t>Order open</t>
        </is>
      </c>
      <c r="E6" s="57" t="inlineStr">
        <is>
          <t>Admin</t>
        </is>
      </c>
      <c r="F6" s="57" t="inlineStr">
        <is>
          <t>1. Add a note.</t>
        </is>
      </c>
      <c r="G6" s="57" t="inlineStr">
        <is>
          <t>Note added to internal thread, persisted.</t>
        </is>
      </c>
      <c r="H6" s="59" t="inlineStr">
        <is>
          <t>To test</t>
        </is>
      </c>
      <c r="I6" s="57" t="inlineStr">
        <is>
          <t>Medium</t>
        </is>
      </c>
      <c r="J6" s="57" t="inlineStr">
        <is>
          <t>Minor</t>
        </is>
      </c>
      <c r="K6" s="57" t="n"/>
      <c r="L6" s="57" t="n"/>
    </row>
    <row r="7" ht="23.85" customHeight="1" s="32">
      <c r="A7" s="57" t="inlineStr">
        <is>
          <t>CO-006</t>
        </is>
      </c>
      <c r="B7" s="57" t="inlineStr">
        <is>
          <t>Orders</t>
        </is>
      </c>
      <c r="C7" s="57" t="inlineStr">
        <is>
          <t>Carrier + tracking entry</t>
        </is>
      </c>
      <c r="D7" s="57" t="inlineStr">
        <is>
          <t>Paid order</t>
        </is>
      </c>
      <c r="E7" s="57" t="inlineStr">
        <is>
          <t>Admin</t>
        </is>
      </c>
      <c r="F7" s="57" t="inlineStr">
        <is>
          <t>1. Enter carrier + tracking. 2. Save.</t>
        </is>
      </c>
      <c r="G7" s="57" t="inlineStr">
        <is>
          <t>Auto-marks as 'shipped'.</t>
        </is>
      </c>
      <c r="H7" s="59" t="inlineStr">
        <is>
          <t>To test</t>
        </is>
      </c>
      <c r="I7" s="57" t="inlineStr">
        <is>
          <t>High</t>
        </is>
      </c>
      <c r="J7" s="57" t="inlineStr">
        <is>
          <t>Major</t>
        </is>
      </c>
      <c r="K7" s="57" t="n"/>
      <c r="L7" s="57" t="n"/>
    </row>
    <row r="8" ht="23.85" customHeight="1" s="32">
      <c r="A8" s="57" t="inlineStr">
        <is>
          <t>CO-007</t>
        </is>
      </c>
      <c r="B8" s="57" t="inlineStr">
        <is>
          <t>Orders</t>
        </is>
      </c>
      <c r="C8" s="57" t="inlineStr">
        <is>
          <t>Invoice PDF from drawer</t>
        </is>
      </c>
      <c r="D8" s="57" t="inlineStr">
        <is>
          <t>Paid order</t>
        </is>
      </c>
      <c r="E8" s="57" t="inlineStr">
        <is>
          <t>Admin</t>
        </is>
      </c>
      <c r="F8" s="57" t="inlineStr">
        <is>
          <t>1. Click 'Invoice PDF'.</t>
        </is>
      </c>
      <c r="G8" s="57" t="inlineStr">
        <is>
          <t>PDF downloaded (logo, items, totals, disclaimer).</t>
        </is>
      </c>
      <c r="H8" s="59" t="inlineStr">
        <is>
          <t>To test</t>
        </is>
      </c>
      <c r="I8" s="57" t="inlineStr">
        <is>
          <t>Medium</t>
        </is>
      </c>
      <c r="J8" s="57" t="inlineStr">
        <is>
          <t>Minor</t>
        </is>
      </c>
      <c r="K8" s="57" t="n"/>
      <c r="L8" s="57" t="n"/>
    </row>
    <row r="9" ht="23.85" customHeight="1" s="32">
      <c r="A9" s="57" t="inlineStr">
        <is>
          <t>CO-008</t>
        </is>
      </c>
      <c r="B9" s="57" t="inlineStr">
        <is>
          <t>Orders</t>
        </is>
      </c>
      <c r="C9" s="57" t="inlineStr">
        <is>
          <t>Manual cancellation</t>
        </is>
      </c>
      <c r="D9" s="57" t="inlineStr">
        <is>
          <t>Active order</t>
        </is>
      </c>
      <c r="E9" s="57" t="inlineStr">
        <is>
          <t>Admin</t>
        </is>
      </c>
      <c r="F9" s="57" t="inlineStr">
        <is>
          <t>1. Cancel the order.</t>
        </is>
      </c>
      <c r="G9" s="57" t="inlineStr">
        <is>
          <t>Stock restocked, coupon decremented (coupon_counted flag), audit cancelled_at/reason.</t>
        </is>
      </c>
      <c r="H9" s="59" t="inlineStr">
        <is>
          <t>To test</t>
        </is>
      </c>
      <c r="I9" s="57" t="inlineStr">
        <is>
          <t>High</t>
        </is>
      </c>
      <c r="J9" s="57" t="inlineStr">
        <is>
          <t>Major</t>
        </is>
      </c>
      <c r="K9" s="57" t="n"/>
      <c r="L9" s="57" t="n"/>
    </row>
    <row r="10" ht="23.85" customHeight="1" s="32">
      <c r="A10" s="57" t="inlineStr">
        <is>
          <t>CO-009</t>
        </is>
      </c>
      <c r="B10" s="57" t="inlineStr">
        <is>
          <t>Orders</t>
        </is>
      </c>
      <c r="C10" s="57" t="inlineStr">
        <is>
          <t>Reopen a cancelled order</t>
        </is>
      </c>
      <c r="D10" s="57" t="inlineStr">
        <is>
          <t>Cancelled order</t>
        </is>
      </c>
      <c r="E10" s="57" t="inlineStr">
        <is>
          <t>Admin</t>
        </is>
      </c>
      <c r="F10" s="57" t="inlineStr">
        <is>
          <t>1. Click 'Reopen'.</t>
        </is>
      </c>
      <c r="G10" s="57" t="inlineStr">
        <is>
          <t>Stock re-decremented, coupon restored (usage_limit), status restored.</t>
        </is>
      </c>
      <c r="H10" s="59" t="inlineStr">
        <is>
          <t>To test</t>
        </is>
      </c>
      <c r="I10" s="57" t="inlineStr">
        <is>
          <t>High</t>
        </is>
      </c>
      <c r="J10" s="57" t="inlineStr">
        <is>
          <t>Major</t>
        </is>
      </c>
      <c r="K10" s="57" t="n"/>
      <c r="L10" s="57" t="n"/>
    </row>
    <row r="11" ht="35.05" customHeight="1" s="32">
      <c r="A11" s="57" t="inlineStr">
        <is>
          <t>CO-010</t>
        </is>
      </c>
      <c r="B11" s="57" t="inlineStr">
        <is>
          <t>Orders</t>
        </is>
      </c>
      <c r="C11" s="57" t="inlineStr">
        <is>
          <t>Reopen + mark paid (late payment)</t>
        </is>
      </c>
      <c r="D11" s="57" t="inlineStr">
        <is>
          <t>Order late_payment_flagged</t>
        </is>
      </c>
      <c r="E11" s="57" t="inlineStr">
        <is>
          <t>Admin</t>
        </is>
      </c>
      <c r="F11" s="57" t="inlineStr">
        <is>
          <t>1. Click 'Reopen + mark paid'.</t>
        </is>
      </c>
      <c r="G11" s="57" t="inlineStr">
        <is>
          <t>Order reopened and confirmed paid.</t>
        </is>
      </c>
      <c r="H11" s="59" t="inlineStr">
        <is>
          <t>To test</t>
        </is>
      </c>
      <c r="I11" s="57" t="inlineStr">
        <is>
          <t>Medium</t>
        </is>
      </c>
      <c r="J11" s="57" t="inlineStr">
        <is>
          <t>Major</t>
        </is>
      </c>
      <c r="K11" s="57" t="n"/>
      <c r="L11" s="57" t="n"/>
    </row>
    <row r="12" ht="23.85" customHeight="1" s="32">
      <c r="A12" s="57" t="inlineStr">
        <is>
          <t>CO-011</t>
        </is>
      </c>
      <c r="B12" s="57" t="inlineStr">
        <is>
          <t>Shipping</t>
        </is>
      </c>
      <c r="C12" s="57" t="inlineStr">
        <is>
          <t>Zones &amp; methods (CRUD)</t>
        </is>
      </c>
      <c r="D12" s="57" t="inlineStr">
        <is>
          <t>Admin logged in</t>
        </is>
      </c>
      <c r="E12" s="57" t="inlineStr">
        <is>
          <t>Admin</t>
        </is>
      </c>
      <c r="F12" s="57" t="inlineStr">
        <is>
          <t>1. Create/edit a zone + method.</t>
        </is>
      </c>
      <c r="G12" s="57" t="inlineStr">
        <is>
          <t>Shipping zones/methods CRUD works.</t>
        </is>
      </c>
      <c r="H12" s="59" t="inlineStr">
        <is>
          <t>To test</t>
        </is>
      </c>
      <c r="I12" s="57" t="inlineStr">
        <is>
          <t>Medium</t>
        </is>
      </c>
      <c r="J12" s="57" t="inlineStr">
        <is>
          <t>Minor</t>
        </is>
      </c>
      <c r="K12" s="57" t="n"/>
      <c r="L12" s="57" t="n"/>
    </row>
    <row r="13" ht="15" customHeight="1" s="32">
      <c r="A13" s="57" t="inlineStr">
        <is>
          <t>CO-012</t>
        </is>
      </c>
      <c r="B13" s="57" t="inlineStr">
        <is>
          <t>Shipping</t>
        </is>
      </c>
      <c r="C13" s="57" t="inlineStr">
        <is>
          <t>Packaging / boxes</t>
        </is>
      </c>
      <c r="D13" s="57" t="inlineStr">
        <is>
          <t>Admin logged in</t>
        </is>
      </c>
      <c r="E13" s="57" t="inlineStr">
        <is>
          <t>Admin</t>
        </is>
      </c>
      <c r="F13" s="57" t="inlineStr">
        <is>
          <t>1. Manage packaging.</t>
        </is>
      </c>
      <c r="G13" s="57" t="inlineStr">
        <is>
          <t>Packaging CRUD works.</t>
        </is>
      </c>
      <c r="H13" s="59" t="inlineStr">
        <is>
          <t>To test</t>
        </is>
      </c>
      <c r="I13" s="57" t="inlineStr">
        <is>
          <t>Low</t>
        </is>
      </c>
      <c r="J13" s="57" t="inlineStr">
        <is>
          <t>Minor</t>
        </is>
      </c>
      <c r="K13" s="57" t="n"/>
      <c r="L13" s="57" t="n"/>
    </row>
    <row r="14" ht="15" customHeight="1" s="32">
      <c r="A14" s="57" t="inlineStr">
        <is>
          <t>CO-013</t>
        </is>
      </c>
      <c r="B14" s="57" t="inlineStr">
        <is>
          <t>Fulfillment</t>
        </is>
      </c>
      <c r="C14" s="57" t="inlineStr">
        <is>
          <t>'Today' screen</t>
        </is>
      </c>
      <c r="D14" s="57" t="inlineStr">
        <is>
          <t>Orders to prepare</t>
        </is>
      </c>
      <c r="E14" s="57" t="inlineStr">
        <is>
          <t>Admin</t>
        </is>
      </c>
      <c r="F14" s="57" t="inlineStr">
        <is>
          <t>1. Open Fulfillment.</t>
        </is>
      </c>
      <c r="G14" s="57" t="inlineStr">
        <is>
          <t>Daily fulfillment queue consistent.</t>
        </is>
      </c>
      <c r="H14" s="59" t="inlineStr">
        <is>
          <t>To test</t>
        </is>
      </c>
      <c r="I14" s="57" t="inlineStr">
        <is>
          <t>Medium</t>
        </is>
      </c>
      <c r="J14" s="57" t="inlineStr">
        <is>
          <t>Minor</t>
        </is>
      </c>
      <c r="K14" s="57" t="n"/>
      <c r="L14" s="57" t="n"/>
    </row>
    <row r="15" ht="23.85" customHeight="1" s="32">
      <c r="A15" s="57" t="inlineStr">
        <is>
          <t>CO-014</t>
        </is>
      </c>
      <c r="B15" s="57" t="inlineStr">
        <is>
          <t>Dispatch</t>
        </is>
      </c>
      <c r="C15" s="57" t="inlineStr">
        <is>
          <t>Manifest transmission</t>
        </is>
      </c>
      <c r="D15" s="57" t="inlineStr">
        <is>
          <t>Labels ready</t>
        </is>
      </c>
      <c r="E15" s="57" t="inlineStr">
        <is>
          <t>Admin</t>
        </is>
      </c>
      <c r="F15" s="57" t="inlineStr">
        <is>
          <t>1. Open Dispatch. 2. Transmit manifest.</t>
        </is>
      </c>
      <c r="G15" s="57" t="inlineStr">
        <is>
          <t>Manifest transmitted, 'pending_manifest' alert raised.</t>
        </is>
      </c>
      <c r="H15" s="59" t="inlineStr">
        <is>
          <t>To test</t>
        </is>
      </c>
      <c r="I15" s="57" t="inlineStr">
        <is>
          <t>Medium</t>
        </is>
      </c>
      <c r="J15" s="57" t="inlineStr">
        <is>
          <t>Major</t>
        </is>
      </c>
      <c r="K15" s="57" t="n"/>
      <c r="L15" s="57" t="n"/>
    </row>
    <row r="16" ht="23.85" customHeight="1" s="32">
      <c r="A16" s="57" t="inlineStr">
        <is>
          <t>CO-015</t>
        </is>
      </c>
      <c r="B16" s="57" t="inlineStr">
        <is>
          <t>Reconciliation</t>
        </is>
      </c>
      <c r="C16" s="57" t="inlineStr">
        <is>
          <t>Interac/crypto reconciliation</t>
        </is>
      </c>
      <c r="D16" s="57" t="inlineStr">
        <is>
          <t>Payments to reconcile</t>
        </is>
      </c>
      <c r="E16" s="57" t="inlineStr">
        <is>
          <t>Admin</t>
        </is>
      </c>
      <c r="F16" s="57" t="inlineStr">
        <is>
          <t>1. Open Reconciliation.</t>
        </is>
      </c>
      <c r="G16" s="57" t="inlineStr">
        <is>
          <t>Payment list and reconciliation work.</t>
        </is>
      </c>
      <c r="H16" s="59" t="inlineStr">
        <is>
          <t>To test</t>
        </is>
      </c>
      <c r="I16" s="57" t="inlineStr">
        <is>
          <t>Medium</t>
        </is>
      </c>
      <c r="J16" s="57" t="inlineStr">
        <is>
          <t>Major</t>
        </is>
      </c>
      <c r="K16" s="57" t="n"/>
      <c r="L16" s="57" t="n"/>
    </row>
    <row r="17" ht="23.85" customHeight="1" s="32">
      <c r="A17" s="57" t="inlineStr">
        <is>
          <t>CO-016</t>
        </is>
      </c>
      <c r="B17" s="57" t="inlineStr">
        <is>
          <t>Checkout failures</t>
        </is>
      </c>
      <c r="C17" s="57" t="inlineStr">
        <is>
          <t>Track checkout failures</t>
        </is>
      </c>
      <c r="D17" s="57" t="inlineStr">
        <is>
          <t>Existing failures</t>
        </is>
      </c>
      <c r="E17" s="57" t="inlineStr">
        <is>
          <t>Admin</t>
        </is>
      </c>
      <c r="F17" s="57" t="inlineStr">
        <is>
          <t>1. Open 'Checkout failures'.</t>
        </is>
      </c>
      <c r="G17" s="57" t="inlineStr">
        <is>
          <t>Failures listed with details.</t>
        </is>
      </c>
      <c r="H17" s="59" t="inlineStr">
        <is>
          <t>To test</t>
        </is>
      </c>
      <c r="I17" s="57" t="inlineStr">
        <is>
          <t>Low</t>
        </is>
      </c>
      <c r="J17" s="57" t="inlineStr">
        <is>
          <t>Minor</t>
        </is>
      </c>
      <c r="K17" s="57" t="n"/>
      <c r="L17" s="57" t="n"/>
    </row>
    <row r="18" ht="15" customHeight="1" s="32">
      <c r="A18" s="57" t="inlineStr">
        <is>
          <t>CO-017</t>
        </is>
      </c>
      <c r="B18" s="57" t="inlineStr">
        <is>
          <t>Refunds</t>
        </is>
      </c>
      <c r="C18" s="57" t="inlineStr">
        <is>
          <t>Refund management</t>
        </is>
      </c>
      <c r="D18" s="57" t="inlineStr">
        <is>
          <t>Paid order</t>
        </is>
      </c>
      <c r="E18" s="57" t="inlineStr">
        <is>
          <t>Admin</t>
        </is>
      </c>
      <c r="F18" s="57" t="inlineStr">
        <is>
          <t>1. Initiate a refund.</t>
        </is>
      </c>
      <c r="G18" s="57" t="inlineStr">
        <is>
          <t>Refund recorded, status refunded.</t>
        </is>
      </c>
      <c r="H18" s="59" t="inlineStr">
        <is>
          <t>To test</t>
        </is>
      </c>
      <c r="I18" s="57" t="inlineStr">
        <is>
          <t>Medium</t>
        </is>
      </c>
      <c r="J18" s="57" t="inlineStr">
        <is>
          <t>Major</t>
        </is>
      </c>
      <c r="K18" s="57" t="n"/>
      <c r="L18" s="57" t="n"/>
    </row>
    <row r="19" ht="15" customHeight="1" s="32">
      <c r="A19" s="31" t="inlineStr">
        <is>
          <t>CO-018</t>
        </is>
      </c>
      <c r="B19" s="31" t="inlineStr">
        <is>
          <t>Shipping</t>
        </is>
      </c>
      <c r="C19" s="31" t="inlineStr">
        <is>
          <t>Same-day dispatch cutoff at 1:00 p.m. ET</t>
        </is>
      </c>
      <c r="D19" s="31" t="inlineStr">
        <is>
          <t>Two orders paid on the same business day</t>
        </is>
      </c>
      <c r="E19" s="31" t="inlineStr">
        <is>
          <t>—</t>
        </is>
      </c>
      <c r="F19" s="31" t="inlineStr">
        <is>
          <t>1. Pay the first before 1:00 p.m. ET. 2. Pay the second after 1:00 p.m. ET.</t>
        </is>
      </c>
      <c r="G19" s="31" t="inlineStr">
        <is>
          <t>The first ships the same day; the second leaves on the next business day.</t>
        </is>
      </c>
      <c r="H19" s="64" t="inlineStr">
        <is>
          <t>To test</t>
        </is>
      </c>
      <c r="I19" s="31" t="inlineStr">
        <is>
          <t>High</t>
        </is>
      </c>
      <c r="J19" s="31" t="inlineStr">
        <is>
          <t>Major</t>
        </is>
      </c>
      <c r="L19" s="31" t="inlineStr">
        <is>
          <t>ORDER_CUTOFF_HOUR=13; the pages now announce 1:00 p.m.</t>
        </is>
      </c>
    </row>
  </sheetData>
  <autoFilter ref="A1:L18"/>
  <dataValidations count="1">
    <dataValidation sqref="H2:H68"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3E5C76"/>
    <outlinePr summaryBelow="1" summaryRight="1"/>
    <pageSetUpPr fitToPage="0"/>
  </sheetPr>
  <dimension ref="A1:L1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1" min="1" max="2"/>
    <col width="25" customWidth="1" style="31" min="3" max="3"/>
    <col width="17" customWidth="1" style="31" min="4" max="4"/>
    <col width="12" customWidth="1" style="31" min="5" max="5"/>
    <col width="37" customWidth="1" style="31" min="6" max="6"/>
    <col width="44" customWidth="1" style="31" min="7" max="7"/>
    <col width="10" customWidth="1" style="31" min="8" max="10"/>
    <col width="55" customWidth="1" style="31" min="11" max="12"/>
  </cols>
  <sheetData>
    <row r="1" ht="27.75" customHeight="1" s="32">
      <c r="A1" s="56" t="inlineStr">
        <is>
          <t>ID</t>
        </is>
      </c>
      <c r="B1" s="56" t="inlineStr">
        <is>
          <t>Module</t>
        </is>
      </c>
      <c r="C1" s="56" t="inlineStr">
        <is>
          <t>Test case / Scenario</t>
        </is>
      </c>
      <c r="D1" s="56" t="inlineStr">
        <is>
          <t>Preconditions / Data</t>
        </is>
      </c>
      <c r="E1" s="56" t="inlineStr">
        <is>
          <t>Account required</t>
        </is>
      </c>
      <c r="F1" s="56" t="inlineStr">
        <is>
          <t>Steps</t>
        </is>
      </c>
      <c r="G1" s="56" t="inlineStr">
        <is>
          <t>Expected result</t>
        </is>
      </c>
      <c r="H1" s="56" t="inlineStr">
        <is>
          <t>Status</t>
        </is>
      </c>
      <c r="I1" s="56" t="inlineStr">
        <is>
          <t>Priority</t>
        </is>
      </c>
      <c r="J1" s="56" t="inlineStr">
        <is>
          <t>Severity</t>
        </is>
      </c>
      <c r="K1" s="56" t="inlineStr">
        <is>
          <t>Actual result</t>
        </is>
      </c>
      <c r="L1" s="56" t="inlineStr">
        <is>
          <t>Comments</t>
        </is>
      </c>
    </row>
    <row r="2" ht="23.85" customHeight="1" s="32">
      <c r="A2" s="57" t="inlineStr">
        <is>
          <t>PR-001</t>
        </is>
      </c>
      <c r="B2" s="57" t="inlineStr">
        <is>
          <t>Products</t>
        </is>
      </c>
      <c r="C2" s="57" t="inlineStr">
        <is>
          <t>Product list (image, stock, COA, featured)</t>
        </is>
      </c>
      <c r="D2" s="57" t="inlineStr">
        <is>
          <t>Seeded products</t>
        </is>
      </c>
      <c r="E2" s="57" t="inlineStr">
        <is>
          <t>Admin</t>
        </is>
      </c>
      <c r="F2" s="57" t="inlineStr">
        <is>
          <t>1. Open Products.</t>
        </is>
      </c>
      <c r="G2" s="57" t="inlineStr">
        <is>
          <t>Full table with stock indicators and COA/Featured badges.</t>
        </is>
      </c>
      <c r="H2" s="59" t="inlineStr">
        <is>
          <t>To test</t>
        </is>
      </c>
      <c r="I2" s="57" t="inlineStr">
        <is>
          <t>High</t>
        </is>
      </c>
      <c r="J2" s="57" t="inlineStr">
        <is>
          <t>Major</t>
        </is>
      </c>
      <c r="K2" s="57" t="n"/>
      <c r="L2" s="57" t="n"/>
    </row>
    <row r="3" ht="35.05" customHeight="1" s="32">
      <c r="A3" s="57" t="inlineStr">
        <is>
          <t>PR-002</t>
        </is>
      </c>
      <c r="B3" s="57" t="inlineStr">
        <is>
          <t>Products</t>
        </is>
      </c>
      <c r="C3" s="57" t="inlineStr">
        <is>
          <t>Product editor (Basic/Stock/COA/Visibility)</t>
        </is>
      </c>
      <c r="D3" s="57" t="inlineStr">
        <is>
          <t>Existing product</t>
        </is>
      </c>
      <c r="E3" s="57" t="inlineStr">
        <is>
          <t>Admin</t>
        </is>
      </c>
      <c r="F3" s="57" t="inlineStr">
        <is>
          <t>1. Open editor (drawer). 2. Edit a field.</t>
        </is>
      </c>
      <c r="G3" s="57" t="inlineStr">
        <is>
          <t>Changes saved and reflected on the storefront.</t>
        </is>
      </c>
      <c r="H3" s="59" t="inlineStr">
        <is>
          <t>To test</t>
        </is>
      </c>
      <c r="I3" s="57" t="inlineStr">
        <is>
          <t>High</t>
        </is>
      </c>
      <c r="J3" s="57" t="inlineStr">
        <is>
          <t>Major</t>
        </is>
      </c>
      <c r="K3" s="57" t="n"/>
      <c r="L3" s="57" t="n"/>
    </row>
    <row r="4" ht="15" customHeight="1" s="32">
      <c r="A4" s="57" t="inlineStr">
        <is>
          <t>PR-003</t>
        </is>
      </c>
      <c r="B4" s="57" t="inlineStr">
        <is>
          <t>Products</t>
        </is>
      </c>
      <c r="C4" s="57" t="inlineStr">
        <is>
          <t>CSV export</t>
        </is>
      </c>
      <c r="D4" s="57" t="inlineStr">
        <is>
          <t>Existing products</t>
        </is>
      </c>
      <c r="E4" s="57" t="inlineStr">
        <is>
          <t>Admin</t>
        </is>
      </c>
      <c r="F4" s="57" t="inlineStr">
        <is>
          <t>1. Click 'Export CSV'.</t>
        </is>
      </c>
      <c r="G4" s="57" t="inlineStr">
        <is>
          <t>products.csv downloaded.</t>
        </is>
      </c>
      <c r="H4" s="59" t="inlineStr">
        <is>
          <t>To test</t>
        </is>
      </c>
      <c r="I4" s="57" t="inlineStr">
        <is>
          <t>Low</t>
        </is>
      </c>
      <c r="J4" s="57" t="inlineStr">
        <is>
          <t>Minor</t>
        </is>
      </c>
      <c r="K4" s="57" t="n"/>
      <c r="L4" s="57" t="n"/>
    </row>
    <row r="5" ht="23.85" customHeight="1" s="32">
      <c r="A5" s="57" t="inlineStr">
        <is>
          <t>PR-004</t>
        </is>
      </c>
      <c r="B5" s="57" t="inlineStr">
        <is>
          <t>Stock</t>
        </is>
      </c>
      <c r="C5" s="57" t="inlineStr">
        <is>
          <t>Stock adjustment (absolute value)</t>
        </is>
      </c>
      <c r="D5" s="57" t="inlineStr">
        <is>
          <t>Existing product</t>
        </is>
      </c>
      <c r="E5" s="57" t="inlineStr">
        <is>
          <t>Admin</t>
        </is>
      </c>
      <c r="F5" s="57" t="inlineStr">
        <is>
          <t>1. Edit stock in the editor.</t>
        </is>
      </c>
      <c r="G5" s="57" t="inlineStr">
        <is>
          <t>Stock updated, stock_movements audit recorded.</t>
        </is>
      </c>
      <c r="H5" s="59" t="inlineStr">
        <is>
          <t>To test</t>
        </is>
      </c>
      <c r="I5" s="57" t="inlineStr">
        <is>
          <t>High</t>
        </is>
      </c>
      <c r="J5" s="57" t="inlineStr">
        <is>
          <t>Major</t>
        </is>
      </c>
      <c r="K5" s="57" t="n"/>
      <c r="L5" s="57" t="n"/>
    </row>
    <row r="6" ht="35.05" customHeight="1" s="32">
      <c r="A6" s="57" t="inlineStr">
        <is>
          <t>PR-005</t>
        </is>
      </c>
      <c r="B6" s="57" t="inlineStr">
        <is>
          <t>Stock</t>
        </is>
      </c>
      <c r="C6" s="57" t="inlineStr">
        <is>
          <t>Quick Restock (+N) modal</t>
        </is>
      </c>
      <c r="D6" s="57" t="inlineStr">
        <is>
          <t>Existing product</t>
        </is>
      </c>
      <c r="E6" s="57" t="inlineStr">
        <is>
          <t>Admin</t>
        </is>
      </c>
      <c r="F6" s="57" t="inlineStr">
        <is>
          <t>1. 'PackagePlus' button. 2. +10/+25/+50/+100 or custom. 3. Confirm.</t>
        </is>
      </c>
      <c r="G6" s="57" t="inlineStr">
        <is>
          <t>Stock incremented atomically, live totals, audit (admin_email, reason).</t>
        </is>
      </c>
      <c r="H6" s="59" t="inlineStr">
        <is>
          <t>To test</t>
        </is>
      </c>
      <c r="I6" s="57" t="inlineStr">
        <is>
          <t>High</t>
        </is>
      </c>
      <c r="J6" s="57" t="inlineStr">
        <is>
          <t>Major</t>
        </is>
      </c>
      <c r="K6" s="57" t="n"/>
      <c r="L6" s="57" t="n"/>
    </row>
    <row r="7" ht="23.85" customHeight="1" s="32">
      <c r="A7" s="57" t="inlineStr">
        <is>
          <t>PR-006</t>
        </is>
      </c>
      <c r="B7" s="57" t="inlineStr">
        <is>
          <t>Stock</t>
        </is>
      </c>
      <c r="C7" s="57" t="inlineStr">
        <is>
          <t>Multi-variant restock</t>
        </is>
      </c>
      <c r="D7" s="57" t="inlineStr">
        <is>
          <t>Product with variants</t>
        </is>
      </c>
      <c r="E7" s="57" t="inlineStr">
        <is>
          <t>Admin</t>
        </is>
      </c>
      <c r="F7" s="57" t="inlineStr">
        <is>
          <t>1. Restock several variants.</t>
        </is>
      </c>
      <c r="G7" s="57" t="inlineStr">
        <is>
          <t>Each variant updated, applied[]/skipped[] correct.</t>
        </is>
      </c>
      <c r="H7" s="59" t="inlineStr">
        <is>
          <t>To test</t>
        </is>
      </c>
      <c r="I7" s="57" t="inlineStr">
        <is>
          <t>Medium</t>
        </is>
      </c>
      <c r="J7" s="57" t="inlineStr">
        <is>
          <t>Minor</t>
        </is>
      </c>
      <c r="K7" s="57" t="n"/>
      <c r="L7" s="57" t="n"/>
    </row>
    <row r="8" ht="15" customHeight="1" s="32">
      <c r="A8" s="57" t="inlineStr">
        <is>
          <t>PR-007</t>
        </is>
      </c>
      <c r="B8" s="57" t="inlineStr">
        <is>
          <t>Stock</t>
        </is>
      </c>
      <c r="C8" s="57" t="inlineStr">
        <is>
          <t>Reject quantity &lt;= 0</t>
        </is>
      </c>
      <c r="D8" s="57" t="inlineStr">
        <is>
          <t>Existing product</t>
        </is>
      </c>
      <c r="E8" s="57" t="inlineStr">
        <is>
          <t>Admin</t>
        </is>
      </c>
      <c r="F8" s="57" t="inlineStr">
        <is>
          <t>1. Enter 0 or negative via API.</t>
        </is>
      </c>
      <c r="G8" s="57" t="inlineStr">
        <is>
          <t>422 Pydantic, no movement.</t>
        </is>
      </c>
      <c r="H8" s="59" t="inlineStr">
        <is>
          <t>To test</t>
        </is>
      </c>
      <c r="I8" s="57" t="inlineStr">
        <is>
          <t>Medium</t>
        </is>
      </c>
      <c r="J8" s="57" t="inlineStr">
        <is>
          <t>Minor</t>
        </is>
      </c>
      <c r="K8" s="57" t="n"/>
      <c r="L8" s="57" t="n"/>
    </row>
    <row r="9" ht="23.85" customHeight="1" s="32">
      <c r="A9" s="57" t="inlineStr">
        <is>
          <t>PR-008</t>
        </is>
      </c>
      <c r="B9" s="57" t="inlineStr">
        <is>
          <t>Stock</t>
        </is>
      </c>
      <c r="C9" s="57" t="inlineStr">
        <is>
          <t>Remove stock (-N) / negative adjustment</t>
        </is>
      </c>
      <c r="D9" s="57" t="inlineStr">
        <is>
          <t>Product with stock</t>
        </is>
      </c>
      <c r="E9" s="57" t="inlineStr">
        <is>
          <t>Admin</t>
        </is>
      </c>
      <c r="F9" s="57" t="inlineStr">
        <is>
          <t>1. Switch to REMOVE mode. 2. -10. 3. Confirm.</t>
        </is>
      </c>
      <c r="G9" s="57" t="inlineStr">
        <is>
          <t>Stock decremented, movement type 'adjustment', refused if insufficient.</t>
        </is>
      </c>
      <c r="H9" s="59" t="inlineStr">
        <is>
          <t>To test</t>
        </is>
      </c>
      <c r="I9" s="57" t="inlineStr">
        <is>
          <t>High</t>
        </is>
      </c>
      <c r="J9" s="57" t="inlineStr">
        <is>
          <t>Major</t>
        </is>
      </c>
      <c r="K9" s="57" t="n"/>
      <c r="L9" s="57" t="n"/>
    </row>
    <row r="10" ht="23.85" customHeight="1" s="32">
      <c r="A10" s="57" t="inlineStr">
        <is>
          <t>PR-009</t>
        </is>
      </c>
      <c r="B10" s="57" t="inlineStr">
        <is>
          <t>Stock</t>
        </is>
      </c>
      <c r="C10" s="57" t="inlineStr">
        <is>
          <t>Atomic guard (insufficient_stock)</t>
        </is>
      </c>
      <c r="D10" s="57" t="inlineStr">
        <is>
          <t>Delta &gt; current stock</t>
        </is>
      </c>
      <c r="E10" s="57" t="inlineStr">
        <is>
          <t>Admin</t>
        </is>
      </c>
      <c r="F10" s="57" t="inlineStr">
        <is>
          <t>1. Try -9999.</t>
        </is>
      </c>
      <c r="G10" s="57" t="inlineStr">
        <is>
          <t>Refused 'insufficient_stock', applied=0.</t>
        </is>
      </c>
      <c r="H10" s="59" t="inlineStr">
        <is>
          <t>To test</t>
        </is>
      </c>
      <c r="I10" s="57" t="inlineStr">
        <is>
          <t>Medium</t>
        </is>
      </c>
      <c r="J10" s="57" t="inlineStr">
        <is>
          <t>Minor</t>
        </is>
      </c>
      <c r="K10" s="57" t="n"/>
      <c r="L10" s="57" t="n"/>
    </row>
    <row r="11" ht="23.85" customHeight="1" s="32">
      <c r="A11" s="57" t="inlineStr">
        <is>
          <t>PR-010</t>
        </is>
      </c>
      <c r="B11" s="57" t="inlineStr">
        <is>
          <t>Stock</t>
        </is>
      </c>
      <c r="C11" s="57" t="inlineStr">
        <is>
          <t>Bulk Restock CSV (multi-product)</t>
        </is>
      </c>
      <c r="D11" s="57" t="inlineStr">
        <is>
          <t>Prepared CSV file</t>
        </is>
      </c>
      <c r="E11" s="57" t="inlineStr">
        <is>
          <t>Admin</t>
        </is>
      </c>
      <c r="F11" s="57" t="inlineStr">
        <is>
          <t>1. 'BULK RESTOCK CSV'. 2. Upload. 3. Preview + validate.</t>
        </is>
      </c>
      <c r="G11" s="57" t="inlineStr">
        <is>
          <t>applied/failed KPIs, typed rejections (product/variant not found, insufficient).</t>
        </is>
      </c>
      <c r="H11" s="59" t="inlineStr">
        <is>
          <t>To test</t>
        </is>
      </c>
      <c r="I11" s="57" t="inlineStr">
        <is>
          <t>Medium</t>
        </is>
      </c>
      <c r="J11" s="57" t="inlineStr">
        <is>
          <t>Major</t>
        </is>
      </c>
      <c r="K11" s="57" t="n"/>
      <c r="L11" s="57" t="n"/>
    </row>
    <row r="12" ht="23.85" customHeight="1" s="32">
      <c r="A12" s="57" t="inlineStr">
        <is>
          <t>PR-011</t>
        </is>
      </c>
      <c r="B12" s="57" t="inlineStr">
        <is>
          <t>Stock</t>
        </is>
      </c>
      <c r="C12" s="57" t="inlineStr">
        <is>
          <t>Movement history (stock-history)</t>
        </is>
      </c>
      <c r="D12" s="57" t="inlineStr">
        <is>
          <t>Existing movements</t>
        </is>
      </c>
      <c r="E12" s="57" t="inlineStr">
        <is>
          <t>Admin</t>
        </is>
      </c>
      <c r="F12" s="57" t="inlineStr">
        <is>
          <t>1. 'VIEW HISTORY'.</t>
        </is>
      </c>
      <c r="G12" s="57" t="inlineStr">
        <is>
          <t>Last 50 movements (date, variant, delta, before→after, admin, reason).</t>
        </is>
      </c>
      <c r="H12" s="59" t="inlineStr">
        <is>
          <t>To test</t>
        </is>
      </c>
      <c r="I12" s="57" t="inlineStr">
        <is>
          <t>Low</t>
        </is>
      </c>
      <c r="J12" s="57" t="inlineStr">
        <is>
          <t>Minor</t>
        </is>
      </c>
      <c r="K12" s="57" t="n"/>
      <c r="L12" s="57" t="n"/>
    </row>
    <row r="13" ht="23.85" customHeight="1" s="32">
      <c r="A13" s="57" t="inlineStr">
        <is>
          <t>PR-012</t>
        </is>
      </c>
      <c r="B13" s="57" t="inlineStr">
        <is>
          <t>Alerts</t>
        </is>
      </c>
      <c r="C13" s="57" t="inlineStr">
        <is>
          <t>Automatic low-stock alert</t>
        </is>
      </c>
      <c r="D13" s="57" t="inlineStr">
        <is>
          <t>Stock drops below threshold</t>
        </is>
      </c>
      <c r="E13" s="57" t="inlineStr">
        <is>
          <t>Admin</t>
        </is>
      </c>
      <c r="F13" s="57" t="inlineStr">
        <is>
          <t>1. Restock below threshold.</t>
        </is>
      </c>
      <c r="G13" s="57" t="inlineStr">
        <is>
          <t>Admin 'Low stock' email + low_stock_alerts row (active=true).</t>
        </is>
      </c>
      <c r="H13" s="59" t="inlineStr">
        <is>
          <t>To test</t>
        </is>
      </c>
      <c r="I13" s="57" t="inlineStr">
        <is>
          <t>Medium</t>
        </is>
      </c>
      <c r="J13" s="57" t="inlineStr">
        <is>
          <t>Major</t>
        </is>
      </c>
      <c r="K13" s="57" t="n"/>
      <c r="L13" s="57" t="n"/>
    </row>
    <row r="14" ht="23.85" customHeight="1" s="32">
      <c r="A14" s="57" t="inlineStr">
        <is>
          <t>PR-013</t>
        </is>
      </c>
      <c r="B14" s="57" t="inlineStr">
        <is>
          <t>Alerts</t>
        </is>
      </c>
      <c r="C14" s="57" t="inlineStr">
        <is>
          <t>No duplicate alert</t>
        </is>
      </c>
      <c r="D14" s="57" t="inlineStr">
        <is>
          <t>Alert already active</t>
        </is>
      </c>
      <c r="E14" s="57" t="inlineStr">
        <is>
          <t>Admin</t>
        </is>
      </c>
      <c r="F14" s="57" t="inlineStr">
        <is>
          <t>1. Decrease stock again.</t>
        </is>
      </c>
      <c r="G14" s="57" t="inlineStr">
        <is>
          <t>No duplicate email (idempotency).</t>
        </is>
      </c>
      <c r="H14" s="59" t="inlineStr">
        <is>
          <t>To test</t>
        </is>
      </c>
      <c r="I14" s="57" t="inlineStr">
        <is>
          <t>Low</t>
        </is>
      </c>
      <c r="J14" s="57" t="inlineStr">
        <is>
          <t>Minor</t>
        </is>
      </c>
      <c r="K14" s="57" t="n"/>
      <c r="L14" s="57" t="n"/>
    </row>
    <row r="15" ht="23.85" customHeight="1" s="32">
      <c r="A15" s="57" t="inlineStr">
        <is>
          <t>PR-014</t>
        </is>
      </c>
      <c r="B15" s="57" t="inlineStr">
        <is>
          <t>Alerts</t>
        </is>
      </c>
      <c r="C15" s="57" t="inlineStr">
        <is>
          <t>Alert auto-clear</t>
        </is>
      </c>
      <c r="D15" s="57" t="inlineStr">
        <is>
          <t>Restock above threshold</t>
        </is>
      </c>
      <c r="E15" s="57" t="inlineStr">
        <is>
          <t>Admin</t>
        </is>
      </c>
      <c r="F15" s="57" t="inlineStr">
        <is>
          <t>1. Restock &gt; threshold.</t>
        </is>
      </c>
      <c r="G15" s="57" t="inlineStr">
        <is>
          <t>Alert marked active=false.</t>
        </is>
      </c>
      <c r="H15" s="59" t="inlineStr">
        <is>
          <t>To test</t>
        </is>
      </c>
      <c r="I15" s="57" t="inlineStr">
        <is>
          <t>Low</t>
        </is>
      </c>
      <c r="J15" s="57" t="inlineStr">
        <is>
          <t>Minor</t>
        </is>
      </c>
      <c r="K15" s="57" t="n"/>
      <c r="L15" s="57" t="n"/>
    </row>
    <row r="16" ht="23.85" customHeight="1" s="32">
      <c r="A16" s="57" t="inlineStr">
        <is>
          <t>PR-015</t>
        </is>
      </c>
      <c r="B16" s="57" t="inlineStr">
        <is>
          <t>Categories</t>
        </is>
      </c>
      <c r="C16" s="57" t="inlineStr">
        <is>
          <t>Categories CRUD</t>
        </is>
      </c>
      <c r="D16" s="57" t="inlineStr">
        <is>
          <t>Admin logged in</t>
        </is>
      </c>
      <c r="E16" s="57" t="inlineStr">
        <is>
          <t>Admin</t>
        </is>
      </c>
      <c r="F16" s="57" t="inlineStr">
        <is>
          <t>1. Create/edit a category.</t>
        </is>
      </c>
      <c r="G16" s="57" t="inlineStr">
        <is>
          <t>CRUD works.</t>
        </is>
      </c>
      <c r="H16" s="59" t="inlineStr">
        <is>
          <t>To test</t>
        </is>
      </c>
      <c r="I16" s="57" t="inlineStr">
        <is>
          <t>Low</t>
        </is>
      </c>
      <c r="J16" s="57" t="inlineStr">
        <is>
          <t>Minor</t>
        </is>
      </c>
      <c r="K16" s="57" t="n"/>
      <c r="L16" s="57" t="n"/>
    </row>
    <row r="17" ht="15" customHeight="1" s="32">
      <c r="A17" s="57" t="inlineStr">
        <is>
          <t>PR-016</t>
        </is>
      </c>
      <c r="B17" s="57" t="inlineStr">
        <is>
          <t>Menus</t>
        </is>
      </c>
      <c r="C17" s="57" t="inlineStr">
        <is>
          <t>Menu management</t>
        </is>
      </c>
      <c r="D17" s="57" t="inlineStr">
        <is>
          <t>Admin logged in</t>
        </is>
      </c>
      <c r="E17" s="57" t="inlineStr">
        <is>
          <t>Admin</t>
        </is>
      </c>
      <c r="F17" s="57" t="inlineStr">
        <is>
          <t>1. Edit the header menu.</t>
        </is>
      </c>
      <c r="G17" s="57" t="inlineStr">
        <is>
          <t>Menu updated on the storefront.</t>
        </is>
      </c>
      <c r="H17" s="59" t="inlineStr">
        <is>
          <t>To test</t>
        </is>
      </c>
      <c r="I17" s="57" t="inlineStr">
        <is>
          <t>Low</t>
        </is>
      </c>
      <c r="J17" s="57" t="inlineStr">
        <is>
          <t>Minor</t>
        </is>
      </c>
      <c r="K17" s="57" t="n"/>
      <c r="L17" s="57" t="n"/>
    </row>
  </sheetData>
  <autoFilter ref="A1:L17"/>
  <dataValidations count="1">
    <dataValidation sqref="H2:H67"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3E5C76"/>
    <outlinePr summaryBelow="1" summaryRight="1"/>
    <pageSetUpPr fitToPage="0"/>
  </sheetPr>
  <dimension ref="A1:L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1" min="1" max="2"/>
    <col width="20" customWidth="1" style="31" min="3" max="3"/>
    <col width="14" customWidth="1" style="31" min="4" max="4"/>
    <col width="12" customWidth="1" style="31" min="5" max="5"/>
    <col width="28" customWidth="1" style="31" min="6" max="6"/>
    <col width="36" customWidth="1" style="31" min="7" max="7"/>
    <col width="10" customWidth="1" style="31" min="8" max="10"/>
    <col width="55" customWidth="1" style="31" min="11" max="12"/>
  </cols>
  <sheetData>
    <row r="1" ht="27.75" customHeight="1" s="32">
      <c r="A1" s="56" t="inlineStr">
        <is>
          <t>ID</t>
        </is>
      </c>
      <c r="B1" s="56" t="inlineStr">
        <is>
          <t>Module</t>
        </is>
      </c>
      <c r="C1" s="56" t="inlineStr">
        <is>
          <t>Test case / Scenario</t>
        </is>
      </c>
      <c r="D1" s="56" t="inlineStr">
        <is>
          <t>Preconditions / Data</t>
        </is>
      </c>
      <c r="E1" s="56" t="inlineStr">
        <is>
          <t>Account required</t>
        </is>
      </c>
      <c r="F1" s="56" t="inlineStr">
        <is>
          <t>Steps</t>
        </is>
      </c>
      <c r="G1" s="56" t="inlineStr">
        <is>
          <t>Expected result</t>
        </is>
      </c>
      <c r="H1" s="56" t="inlineStr">
        <is>
          <t>Status</t>
        </is>
      </c>
      <c r="I1" s="56" t="inlineStr">
        <is>
          <t>Priority</t>
        </is>
      </c>
      <c r="J1" s="56" t="inlineStr">
        <is>
          <t>Severity</t>
        </is>
      </c>
      <c r="K1" s="56" t="inlineStr">
        <is>
          <t>Actual result</t>
        </is>
      </c>
      <c r="L1" s="56" t="inlineStr">
        <is>
          <t>Comments</t>
        </is>
      </c>
    </row>
    <row r="2" ht="23.85" customHeight="1" s="32">
      <c r="A2" s="57" t="inlineStr">
        <is>
          <t>CP-001</t>
        </is>
      </c>
      <c r="B2" s="57" t="inlineStr">
        <is>
          <t>Coupons</t>
        </is>
      </c>
      <c r="C2" s="57" t="inlineStr">
        <is>
          <t>Create coupon (% and fixed)</t>
        </is>
      </c>
      <c r="D2" s="57" t="inlineStr">
        <is>
          <t>Admin logged in</t>
        </is>
      </c>
      <c r="E2" s="57" t="inlineStr">
        <is>
          <t>Admin</t>
        </is>
      </c>
      <c r="F2" s="57" t="inlineStr">
        <is>
          <t>1. Create a % coupon then a fixed-amount coupon.</t>
        </is>
      </c>
      <c r="G2" s="57" t="inlineStr">
        <is>
          <t>Coupons created with code, min_subtotal, usage_limit, expires_at.</t>
        </is>
      </c>
      <c r="H2" s="59" t="inlineStr">
        <is>
          <t>To test</t>
        </is>
      </c>
      <c r="I2" s="57" t="inlineStr">
        <is>
          <t>High</t>
        </is>
      </c>
      <c r="J2" s="57" t="inlineStr">
        <is>
          <t>Major</t>
        </is>
      </c>
      <c r="K2" s="57" t="n"/>
      <c r="L2" s="57" t="n"/>
    </row>
    <row r="3" ht="23.85" customHeight="1" s="32">
      <c r="A3" s="57" t="inlineStr">
        <is>
          <t>CP-002</t>
        </is>
      </c>
      <c r="B3" s="57" t="inlineStr">
        <is>
          <t>Coupons</t>
        </is>
      </c>
      <c r="C3" s="57" t="inlineStr">
        <is>
          <t>Edit / delete</t>
        </is>
      </c>
      <c r="D3" s="57" t="inlineStr">
        <is>
          <t>Existing coupon</t>
        </is>
      </c>
      <c r="E3" s="57" t="inlineStr">
        <is>
          <t>Admin</t>
        </is>
      </c>
      <c r="F3" s="57" t="inlineStr">
        <is>
          <t>1. Edit. 2. Delete.</t>
        </is>
      </c>
      <c r="G3" s="57" t="inlineStr">
        <is>
          <t>Updates applied, deletion effective.</t>
        </is>
      </c>
      <c r="H3" s="59" t="inlineStr">
        <is>
          <t>To test</t>
        </is>
      </c>
      <c r="I3" s="57" t="inlineStr">
        <is>
          <t>Medium</t>
        </is>
      </c>
      <c r="J3" s="57" t="inlineStr">
        <is>
          <t>Minor</t>
        </is>
      </c>
      <c r="K3" s="57" t="n"/>
      <c r="L3" s="57" t="n"/>
    </row>
    <row r="4" ht="23.85" customHeight="1" s="32">
      <c r="A4" s="57" t="inlineStr">
        <is>
          <t>CP-003</t>
        </is>
      </c>
      <c r="B4" s="57" t="inlineStr">
        <is>
          <t>Coupons</t>
        </is>
      </c>
      <c r="C4" s="57" t="inlineStr">
        <is>
          <t>Coupon validation (POST validate)</t>
        </is>
      </c>
      <c r="D4" s="57" t="inlineStr">
        <is>
          <t>Active coupon</t>
        </is>
      </c>
      <c r="E4" s="57" t="inlineStr">
        <is>
          <t>Admin</t>
        </is>
      </c>
      <c r="F4" s="57" t="inlineStr">
        <is>
          <t>1. Validate a code at checkout.</t>
        </is>
      </c>
      <c r="G4" s="57" t="inlineStr">
        <is>
          <t>Coupon valid, discount computed.</t>
        </is>
      </c>
      <c r="H4" s="59" t="inlineStr">
        <is>
          <t>To test</t>
        </is>
      </c>
      <c r="I4" s="57" t="inlineStr">
        <is>
          <t>High</t>
        </is>
      </c>
      <c r="J4" s="57" t="inlineStr">
        <is>
          <t>Major</t>
        </is>
      </c>
      <c r="K4" s="57" t="n"/>
      <c r="L4" s="57" t="n"/>
    </row>
    <row r="5" ht="23.85" customHeight="1" s="32">
      <c r="A5" s="57" t="inlineStr">
        <is>
          <t>CP-004</t>
        </is>
      </c>
      <c r="B5" s="57" t="inlineStr">
        <is>
          <t>Coupons</t>
        </is>
      </c>
      <c r="C5" s="57" t="inlineStr">
        <is>
          <t>Usage limit / expiry</t>
        </is>
      </c>
      <c r="D5" s="57" t="inlineStr">
        <is>
          <t>Limited coupon</t>
        </is>
      </c>
      <c r="E5" s="57" t="inlineStr">
        <is>
          <t>Admin</t>
        </is>
      </c>
      <c r="F5" s="57" t="inlineStr">
        <is>
          <t>1. Exhaust the limit or pass expiry.</t>
        </is>
      </c>
      <c r="G5" s="57" t="inlineStr">
        <is>
          <t>Coupon refused with clear message.</t>
        </is>
      </c>
      <c r="H5" s="59" t="inlineStr">
        <is>
          <t>To test</t>
        </is>
      </c>
      <c r="I5" s="57" t="inlineStr">
        <is>
          <t>Medium</t>
        </is>
      </c>
      <c r="J5" s="57" t="inlineStr">
        <is>
          <t>Major</t>
        </is>
      </c>
      <c r="K5" s="57" t="n"/>
      <c r="L5" s="57" t="n"/>
    </row>
    <row r="6" ht="23.85" customHeight="1" s="32">
      <c r="A6" s="57" t="inlineStr">
        <is>
          <t>CP-005</t>
        </is>
      </c>
      <c r="B6" s="57" t="inlineStr">
        <is>
          <t>Coupons</t>
        </is>
      </c>
      <c r="C6" s="57" t="inlineStr">
        <is>
          <t>Auto usage increment</t>
        </is>
      </c>
      <c r="D6" s="57" t="inlineStr">
        <is>
          <t>Used coupon</t>
        </is>
      </c>
      <c r="E6" s="57" t="inlineStr">
        <is>
          <t>Admin</t>
        </is>
      </c>
      <c r="F6" s="57" t="inlineStr">
        <is>
          <t>1. Place an order with coupon.</t>
        </is>
      </c>
      <c r="G6" s="57" t="inlineStr">
        <is>
          <t>usage_count incremented automatically.</t>
        </is>
      </c>
      <c r="H6" s="59" t="inlineStr">
        <is>
          <t>To test</t>
        </is>
      </c>
      <c r="I6" s="57" t="inlineStr">
        <is>
          <t>Medium</t>
        </is>
      </c>
      <c r="J6" s="57" t="inlineStr">
        <is>
          <t>Minor</t>
        </is>
      </c>
      <c r="K6" s="57" t="n"/>
      <c r="L6" s="57" t="n"/>
    </row>
    <row r="7" ht="23.85" customHeight="1" s="32">
      <c r="A7" s="57" t="inlineStr">
        <is>
          <t>CP-006</t>
        </is>
      </c>
      <c r="B7" s="57" t="inlineStr">
        <is>
          <t>Customers</t>
        </is>
      </c>
      <c r="C7" s="57" t="inlineStr">
        <is>
          <t>Customer list</t>
        </is>
      </c>
      <c r="D7" s="57" t="inlineStr">
        <is>
          <t>Existing customers</t>
        </is>
      </c>
      <c r="E7" s="57" t="inlineStr">
        <is>
          <t>Admin</t>
        </is>
      </c>
      <c r="F7" s="57" t="inlineStr">
        <is>
          <t>1. Open Customers.</t>
        </is>
      </c>
      <c r="G7" s="57" t="inlineStr">
        <is>
          <t>Customer list with info.</t>
        </is>
      </c>
      <c r="H7" s="59" t="inlineStr">
        <is>
          <t>To test</t>
        </is>
      </c>
      <c r="I7" s="57" t="inlineStr">
        <is>
          <t>Medium</t>
        </is>
      </c>
      <c r="J7" s="57" t="inlineStr">
        <is>
          <t>Minor</t>
        </is>
      </c>
      <c r="K7" s="57" t="n"/>
      <c r="L7" s="57" t="n"/>
    </row>
  </sheetData>
  <autoFilter ref="A1:L7"/>
  <dataValidations count="1">
    <dataValidation sqref="H2:H57"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3E5C76"/>
    <outlinePr summaryBelow="1" summaryRight="1"/>
    <pageSetUpPr fitToPage="0"/>
  </sheetPr>
  <dimension ref="A1:L14"/>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1" min="1" max="2"/>
    <col width="25" customWidth="1" style="31" min="3" max="3"/>
    <col width="23" customWidth="1" style="31" min="4" max="4"/>
    <col width="12" customWidth="1" style="31" min="5" max="5"/>
    <col width="46" customWidth="1" style="31" min="6" max="6"/>
    <col width="43" customWidth="1" style="31" min="7" max="7"/>
    <col width="10" customWidth="1" style="31" min="8" max="10"/>
    <col width="55" customWidth="1" style="31" min="11" max="12"/>
  </cols>
  <sheetData>
    <row r="1" ht="27.75" customHeight="1" s="32">
      <c r="A1" s="56" t="inlineStr">
        <is>
          <t>ID</t>
        </is>
      </c>
      <c r="B1" s="56" t="inlineStr">
        <is>
          <t>Module</t>
        </is>
      </c>
      <c r="C1" s="56" t="inlineStr">
        <is>
          <t>Test case / Scenario</t>
        </is>
      </c>
      <c r="D1" s="56" t="inlineStr">
        <is>
          <t>Preconditions / Data</t>
        </is>
      </c>
      <c r="E1" s="56" t="inlineStr">
        <is>
          <t>Account required</t>
        </is>
      </c>
      <c r="F1" s="56" t="inlineStr">
        <is>
          <t>Steps</t>
        </is>
      </c>
      <c r="G1" s="56" t="inlineStr">
        <is>
          <t>Expected result</t>
        </is>
      </c>
      <c r="H1" s="56" t="inlineStr">
        <is>
          <t>Status</t>
        </is>
      </c>
      <c r="I1" s="56" t="inlineStr">
        <is>
          <t>Priority</t>
        </is>
      </c>
      <c r="J1" s="56" t="inlineStr">
        <is>
          <t>Severity</t>
        </is>
      </c>
      <c r="K1" s="56" t="inlineStr">
        <is>
          <t>Actual result</t>
        </is>
      </c>
      <c r="L1" s="56" t="inlineStr">
        <is>
          <t>Comments</t>
        </is>
      </c>
    </row>
    <row r="2" ht="23.85" customHeight="1" s="32">
      <c r="A2" s="57" t="inlineStr">
        <is>
          <t>AF-101</t>
        </is>
      </c>
      <c r="B2" s="57" t="inlineStr">
        <is>
          <t>Affiliates</t>
        </is>
      </c>
      <c r="C2" s="57" t="inlineStr">
        <is>
          <t>Individual invitation (first/last/company)</t>
        </is>
      </c>
      <c r="D2" s="57" t="inlineStr">
        <is>
          <t>Admin logged in</t>
        </is>
      </c>
      <c r="E2" s="57" t="inlineStr">
        <is>
          <t>Admin</t>
        </is>
      </c>
      <c r="F2" s="57" t="inlineStr">
        <is>
          <t>1. Invite an affiliate.</t>
        </is>
      </c>
      <c r="G2" s="57" t="inlineStr">
        <is>
          <t>Account created, Resend email sent, auto FN+6 code.</t>
        </is>
      </c>
      <c r="H2" s="59" t="inlineStr">
        <is>
          <t>To test</t>
        </is>
      </c>
      <c r="I2" s="57" t="inlineStr">
        <is>
          <t>High</t>
        </is>
      </c>
      <c r="J2" s="57" t="inlineStr">
        <is>
          <t>Major</t>
        </is>
      </c>
      <c r="K2" s="57" t="n"/>
      <c r="L2" s="57" t="n"/>
    </row>
    <row r="3" ht="35.05" customHeight="1" s="32">
      <c r="A3" s="57" t="inlineStr">
        <is>
          <t>AF-102</t>
        </is>
      </c>
      <c r="B3" s="57" t="inlineStr">
        <is>
          <t>Affiliates</t>
        </is>
      </c>
      <c r="C3" s="57" t="inlineStr">
        <is>
          <t>Bulk invite CSV (drag &amp; drop)</t>
        </is>
      </c>
      <c r="D3" s="57" t="inlineStr">
        <is>
          <t>CSV with rows</t>
        </is>
      </c>
      <c r="E3" s="57" t="inlineStr">
        <is>
          <t>Admin</t>
        </is>
      </c>
      <c r="F3" s="57" t="inlineStr">
        <is>
          <t>1. 'Bulk invite'. 2. Upload CSV (first_name,last_name,company,email,discount_percent).</t>
        </is>
      </c>
      <c r="G3" s="57" t="inlineStr">
        <is>
          <t>Preview + Sent/Skipped/Failed KPIs + CSV download of codes.</t>
        </is>
      </c>
      <c r="H3" s="59" t="inlineStr">
        <is>
          <t>To test</t>
        </is>
      </c>
      <c r="I3" s="57" t="inlineStr">
        <is>
          <t>Medium</t>
        </is>
      </c>
      <c r="J3" s="57" t="inlineStr">
        <is>
          <t>Major</t>
        </is>
      </c>
      <c r="K3" s="57" t="n"/>
      <c r="L3" s="57" t="n"/>
    </row>
    <row r="4" ht="23.85" customHeight="1" s="32">
      <c r="A4" s="57" t="inlineStr">
        <is>
          <t>AF-103</t>
        </is>
      </c>
      <c r="B4" s="57" t="inlineStr">
        <is>
          <t>Affiliates</t>
        </is>
      </c>
      <c r="C4" s="57" t="inlineStr">
        <is>
          <t>Invalid row rejected without breaking batch</t>
        </is>
      </c>
      <c r="D4" s="57" t="inlineStr">
        <is>
          <t>CSV with nameless row</t>
        </is>
      </c>
      <c r="E4" s="57" t="inlineStr">
        <is>
          <t>Admin</t>
        </is>
      </c>
      <c r="F4" s="57" t="inlineStr">
        <is>
          <t>1. Upload a CSV with a nameless row.</t>
        </is>
      </c>
      <c r="G4" s="57" t="inlineStr">
        <is>
          <t>Row rejected in failed[] with clear message, rest processed.</t>
        </is>
      </c>
      <c r="H4" s="59" t="inlineStr">
        <is>
          <t>To test</t>
        </is>
      </c>
      <c r="I4" s="57" t="inlineStr">
        <is>
          <t>Medium</t>
        </is>
      </c>
      <c r="J4" s="57" t="inlineStr">
        <is>
          <t>Minor</t>
        </is>
      </c>
      <c r="K4" s="57" t="n"/>
      <c r="L4" s="57" t="n"/>
    </row>
    <row r="5" ht="23.85" customHeight="1" s="32">
      <c r="A5" s="57" t="inlineStr">
        <is>
          <t>AF-104</t>
        </is>
      </c>
      <c r="B5" s="57" t="inlineStr">
        <is>
          <t>Affiliates</t>
        </is>
      </c>
      <c r="C5" s="57" t="inlineStr">
        <is>
          <t>Code generation v2 (BASE + %)</t>
        </is>
      </c>
      <c r="D5" s="57" t="inlineStr">
        <is>
          <t>Affiliate with %</t>
        </is>
      </c>
      <c r="E5" s="57" t="inlineStr">
        <is>
          <t>Admin</t>
        </is>
      </c>
      <c r="F5" s="57" t="inlineStr">
        <is>
          <t>1. Activate an affiliate at 15%.</t>
        </is>
      </c>
      <c r="G5" s="57" t="inlineStr">
        <is>
          <t>Code like GYMPRO15 (company) or MARIE15 (first name), anti-collision.</t>
        </is>
      </c>
      <c r="H5" s="59" t="inlineStr">
        <is>
          <t>To test</t>
        </is>
      </c>
      <c r="I5" s="57" t="inlineStr">
        <is>
          <t>Medium</t>
        </is>
      </c>
      <c r="J5" s="57" t="inlineStr">
        <is>
          <t>Minor</t>
        </is>
      </c>
      <c r="K5" s="57" t="n"/>
      <c r="L5" s="57" t="n"/>
    </row>
    <row r="6" ht="23.85" customHeight="1" s="32">
      <c r="A6" s="57" t="inlineStr">
        <is>
          <t>AF-105</t>
        </is>
      </c>
      <c r="B6" s="57" t="inlineStr">
        <is>
          <t>Affiliates</t>
        </is>
      </c>
      <c r="C6" s="57" t="inlineStr">
        <is>
          <t>Aliases (percent rename)</t>
        </is>
      </c>
      <c r="D6" s="57" t="inlineStr">
        <is>
          <t>Affiliate with code</t>
        </is>
      </c>
      <c r="E6" s="57" t="inlineStr">
        <is>
          <t>Admin</t>
        </is>
      </c>
      <c r="F6" s="57" t="inlineStr">
        <is>
          <t>1. Change coupon_percent.</t>
        </is>
      </c>
      <c r="G6" s="57" t="inlineStr">
        <is>
          <t>Code regenerated, old one archived in aliases[] (active), old coupon disabled.</t>
        </is>
      </c>
      <c r="H6" s="59" t="inlineStr">
        <is>
          <t>To test</t>
        </is>
      </c>
      <c r="I6" s="57" t="inlineStr">
        <is>
          <t>Medium</t>
        </is>
      </c>
      <c r="J6" s="57" t="inlineStr">
        <is>
          <t>Major</t>
        </is>
      </c>
      <c r="K6" s="57" t="n"/>
      <c r="L6" s="57" t="n"/>
    </row>
    <row r="7" ht="23.85" customHeight="1" s="32">
      <c r="A7" s="57" t="inlineStr">
        <is>
          <t>AF-106</t>
        </is>
      </c>
      <c r="B7" s="57" t="inlineStr">
        <is>
          <t>Affiliates</t>
        </is>
      </c>
      <c r="C7" s="57" t="inlineStr">
        <is>
          <t>Toggle alias active/inactive</t>
        </is>
      </c>
      <c r="D7" s="57" t="inlineStr">
        <is>
          <t>Affiliate with aliases</t>
        </is>
      </c>
      <c r="E7" s="57" t="inlineStr">
        <is>
          <t>Admin</t>
        </is>
      </c>
      <c r="F7" s="57" t="inlineStr">
        <is>
          <t>1. Toggle an alias.</t>
        </is>
      </c>
      <c r="G7" s="57" t="inlineStr">
        <is>
          <t>Alias enabled/disabled, ?ref= accepts active alias.</t>
        </is>
      </c>
      <c r="H7" s="59" t="inlineStr">
        <is>
          <t>To test</t>
        </is>
      </c>
      <c r="I7" s="57" t="inlineStr">
        <is>
          <t>Low</t>
        </is>
      </c>
      <c r="J7" s="57" t="inlineStr">
        <is>
          <t>Minor</t>
        </is>
      </c>
      <c r="K7" s="57" t="n"/>
      <c r="L7" s="57" t="n"/>
    </row>
    <row r="8" ht="23.85" customHeight="1" s="32">
      <c r="A8" s="57" t="inlineStr">
        <is>
          <t>AF-107</t>
        </is>
      </c>
      <c r="B8" s="57" t="inlineStr">
        <is>
          <t>Affiliates</t>
        </is>
      </c>
      <c r="C8" s="57" t="inlineStr">
        <is>
          <t>Payout settings (USDT/USDC ERC-20)</t>
        </is>
      </c>
      <c r="D8" s="57" t="inlineStr">
        <is>
          <t>Invited affiliate</t>
        </is>
      </c>
      <c r="E8" s="57" t="inlineStr">
        <is>
          <t>Admin</t>
        </is>
      </c>
      <c r="F8" s="57" t="inlineStr">
        <is>
          <t>1. Configure an ERC-20 address.</t>
        </is>
      </c>
      <c r="G8" s="57" t="inlineStr">
        <is>
          <t>Address canonicalized to EIP-55 checksum, currency validated.</t>
        </is>
      </c>
      <c r="H8" s="59" t="inlineStr">
        <is>
          <t>To test</t>
        </is>
      </c>
      <c r="I8" s="57" t="inlineStr">
        <is>
          <t>Medium</t>
        </is>
      </c>
      <c r="J8" s="57" t="inlineStr">
        <is>
          <t>Major</t>
        </is>
      </c>
      <c r="K8" s="57" t="n"/>
      <c r="L8" s="57" t="n"/>
    </row>
    <row r="9" ht="23.85" customHeight="1" s="32">
      <c r="A9" s="57" t="inlineStr">
        <is>
          <t>AF-108</t>
        </is>
      </c>
      <c r="B9" s="57" t="inlineStr">
        <is>
          <t>Payouts</t>
        </is>
      </c>
      <c r="C9" s="57" t="inlineStr">
        <is>
          <t>Payout generation (period)</t>
        </is>
      </c>
      <c r="D9" s="57" t="inlineStr">
        <is>
          <t>Attributed sales</t>
        </is>
      </c>
      <c r="E9" s="57" t="inlineStr">
        <is>
          <t>Admin</t>
        </is>
      </c>
      <c r="F9" s="57" t="inlineStr">
        <is>
          <t>1. Run generation (force-run / scheduler).</t>
        </is>
      </c>
      <c r="G9" s="57" t="inlineStr">
        <is>
          <t>Payouts created for the period, minimum threshold respected ($25 CAD).</t>
        </is>
      </c>
      <c r="H9" s="59" t="inlineStr">
        <is>
          <t>To test</t>
        </is>
      </c>
      <c r="I9" s="57" t="inlineStr">
        <is>
          <t>High</t>
        </is>
      </c>
      <c r="J9" s="57" t="inlineStr">
        <is>
          <t>Major</t>
        </is>
      </c>
      <c r="K9" s="57" t="n"/>
      <c r="L9" s="57" t="n"/>
    </row>
    <row r="10" ht="23.85" customHeight="1" s="32">
      <c r="A10" s="57" t="inlineStr">
        <is>
          <t>AF-109</t>
        </is>
      </c>
      <c r="B10" s="57" t="inlineStr">
        <is>
          <t>Payouts</t>
        </is>
      </c>
      <c r="C10" s="57" t="inlineStr">
        <is>
          <t>Minimum threshold (defer below)</t>
        </is>
      </c>
      <c r="D10" s="57" t="inlineStr">
        <is>
          <t>Commissions &lt; $25</t>
        </is>
      </c>
      <c r="E10" s="57" t="inlineStr">
        <is>
          <t>Admin</t>
        </is>
      </c>
      <c r="F10" s="57" t="inlineStr">
        <is>
          <t>1. Generate payouts.</t>
        </is>
      </c>
      <c r="G10" s="57" t="inlineStr">
        <is>
          <t>No row created, deferral + bilingual email sent (idempotent).</t>
        </is>
      </c>
      <c r="H10" s="59" t="inlineStr">
        <is>
          <t>To test</t>
        </is>
      </c>
      <c r="I10" s="57" t="inlineStr">
        <is>
          <t>Medium</t>
        </is>
      </c>
      <c r="J10" s="57" t="inlineStr">
        <is>
          <t>Major</t>
        </is>
      </c>
      <c r="K10" s="57" t="n"/>
      <c r="L10" s="57" t="n"/>
    </row>
    <row r="11" ht="23.85" customHeight="1" s="32">
      <c r="A11" s="57" t="inlineStr">
        <is>
          <t>AF-110</t>
        </is>
      </c>
      <c r="B11" s="57" t="inlineStr">
        <is>
          <t>Payouts</t>
        </is>
      </c>
      <c r="C11" s="57" t="inlineStr">
        <is>
          <t>FX CAD→USD rate (Bank of Canada)</t>
        </is>
      </c>
      <c r="D11" s="57" t="inlineStr">
        <is>
          <t>Payouts generated</t>
        </is>
      </c>
      <c r="E11" s="57" t="inlineStr">
        <is>
          <t>Admin</t>
        </is>
      </c>
      <c r="F11" s="57" t="inlineStr">
        <is>
          <t>1. Check columns.</t>
        </is>
      </c>
      <c r="G11" s="57" t="inlineStr">
        <is>
          <t>BoC FX shown (rate + source), USD amount ≈ 1:1 USDT.</t>
        </is>
      </c>
      <c r="H11" s="59" t="inlineStr">
        <is>
          <t>To test</t>
        </is>
      </c>
      <c r="I11" s="57" t="inlineStr">
        <is>
          <t>Medium</t>
        </is>
      </c>
      <c r="J11" s="57" t="inlineStr">
        <is>
          <t>Minor</t>
        </is>
      </c>
      <c r="K11" s="57" t="n"/>
      <c r="L11" s="57" t="n"/>
    </row>
    <row r="12" ht="35.05" customHeight="1" s="32">
      <c r="A12" s="57" t="inlineStr">
        <is>
          <t>AF-111</t>
        </is>
      </c>
      <c r="B12" s="57" t="inlineStr">
        <is>
          <t>Payouts</t>
        </is>
      </c>
      <c r="C12" s="57" t="inlineStr">
        <is>
          <t>Batch → NOWPayments (OTP)</t>
        </is>
      </c>
      <c r="D12" s="57" t="inlineStr">
        <is>
          <t>Payouts ready + NOWPayments configured</t>
        </is>
      </c>
      <c r="E12" s="57" t="inlineStr">
        <is>
          <t>Admin</t>
        </is>
      </c>
      <c r="F12" s="57" t="inlineStr">
        <is>
          <t>1. Select. 2. 'Batch'. 3. OTP.</t>
        </is>
      </c>
      <c r="G12" s="57" t="inlineStr">
        <is>
          <t>Mass payouts sent, status processing + np_batch_id.</t>
        </is>
      </c>
      <c r="H12" s="59" t="inlineStr">
        <is>
          <t>To test</t>
        </is>
      </c>
      <c r="I12" s="57" t="inlineStr">
        <is>
          <t>Medium</t>
        </is>
      </c>
      <c r="J12" s="57" t="inlineStr">
        <is>
          <t>Major</t>
        </is>
      </c>
      <c r="K12" s="57" t="n"/>
      <c r="L12" s="57" t="n"/>
    </row>
    <row r="13" ht="23.85" customHeight="1" s="32">
      <c r="A13" s="57" t="inlineStr">
        <is>
          <t>AF-112</t>
        </is>
      </c>
      <c r="B13" s="57" t="inlineStr">
        <is>
          <t>Payouts</t>
        </is>
      </c>
      <c r="C13" s="57" t="inlineStr">
        <is>
          <t>NOWPayments CSV template export</t>
        </is>
      </c>
      <c r="D13" s="57" t="inlineStr">
        <is>
          <t>Payouts ready/queued</t>
        </is>
      </c>
      <c r="E13" s="57" t="inlineStr">
        <is>
          <t>Admin</t>
        </is>
      </c>
      <c r="F13" s="57" t="inlineStr">
        <is>
          <t>1. 'Export NOWPayments'.</t>
        </is>
      </c>
      <c r="G13" s="57" t="inlineStr">
        <is>
          <t>CSV in official template (Ticker, Wallet, Amount 6 decimals).</t>
        </is>
      </c>
      <c r="H13" s="59" t="inlineStr">
        <is>
          <t>To test</t>
        </is>
      </c>
      <c r="I13" s="57" t="inlineStr">
        <is>
          <t>Medium</t>
        </is>
      </c>
      <c r="J13" s="57" t="inlineStr">
        <is>
          <t>Major</t>
        </is>
      </c>
      <c r="K13" s="57" t="n"/>
      <c r="L13" s="57" t="n"/>
    </row>
    <row r="14" ht="15" customHeight="1" s="32">
      <c r="A14" s="57" t="inlineStr">
        <is>
          <t>AF-113</t>
        </is>
      </c>
      <c r="B14" s="57" t="inlineStr">
        <is>
          <t>Payouts</t>
        </is>
      </c>
      <c r="C14" s="57" t="inlineStr">
        <is>
          <t>Payout webhook → paid</t>
        </is>
      </c>
      <c r="D14" s="57" t="inlineStr">
        <is>
          <t>Payout processing</t>
        </is>
      </c>
      <c r="E14" s="57" t="inlineStr">
        <is>
          <t>Admin</t>
        </is>
      </c>
      <c r="F14" s="57" t="inlineStr">
        <is>
          <t>1. Simulate webhook.</t>
        </is>
      </c>
      <c r="G14" s="57" t="inlineStr">
        <is>
          <t>Payout confirmed → paid.</t>
        </is>
      </c>
      <c r="H14" s="59" t="inlineStr">
        <is>
          <t>To test</t>
        </is>
      </c>
      <c r="I14" s="57" t="inlineStr">
        <is>
          <t>Medium</t>
        </is>
      </c>
      <c r="J14" s="57" t="inlineStr">
        <is>
          <t>Major</t>
        </is>
      </c>
      <c r="K14" s="57" t="n"/>
      <c r="L14" s="57" t="n"/>
    </row>
  </sheetData>
  <autoFilter ref="A1:L14"/>
  <dataValidations count="1">
    <dataValidation sqref="H2:H64"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3E5C76"/>
    <outlinePr summaryBelow="1" summaryRight="1"/>
    <pageSetUpPr fitToPage="0"/>
  </sheetPr>
  <dimension ref="A1:L1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1" min="1" max="2"/>
    <col width="19" customWidth="1" style="31" min="3" max="3"/>
    <col width="14" customWidth="1" style="31" min="4" max="4"/>
    <col width="12" customWidth="1" style="31" min="5" max="5"/>
    <col width="29" customWidth="1" style="31" min="6" max="6"/>
    <col width="32" customWidth="1" style="31" min="7" max="7"/>
    <col width="10" customWidth="1" style="31" min="8" max="10"/>
    <col width="55" customWidth="1" style="31" min="11" max="12"/>
  </cols>
  <sheetData>
    <row r="1" ht="27.75" customHeight="1" s="32">
      <c r="A1" s="56" t="inlineStr">
        <is>
          <t>ID</t>
        </is>
      </c>
      <c r="B1" s="56" t="inlineStr">
        <is>
          <t>Module</t>
        </is>
      </c>
      <c r="C1" s="56" t="inlineStr">
        <is>
          <t>Test case / Scenario</t>
        </is>
      </c>
      <c r="D1" s="56" t="inlineStr">
        <is>
          <t>Preconditions / Data</t>
        </is>
      </c>
      <c r="E1" s="56" t="inlineStr">
        <is>
          <t>Account required</t>
        </is>
      </c>
      <c r="F1" s="56" t="inlineStr">
        <is>
          <t>Steps</t>
        </is>
      </c>
      <c r="G1" s="56" t="inlineStr">
        <is>
          <t>Expected result</t>
        </is>
      </c>
      <c r="H1" s="56" t="inlineStr">
        <is>
          <t>Status</t>
        </is>
      </c>
      <c r="I1" s="56" t="inlineStr">
        <is>
          <t>Priority</t>
        </is>
      </c>
      <c r="J1" s="56" t="inlineStr">
        <is>
          <t>Severity</t>
        </is>
      </c>
      <c r="K1" s="56" t="inlineStr">
        <is>
          <t>Actual result</t>
        </is>
      </c>
      <c r="L1" s="56" t="inlineStr">
        <is>
          <t>Comments</t>
        </is>
      </c>
    </row>
    <row r="2" ht="23.85" customHeight="1" s="32">
      <c r="A2" s="57" t="inlineStr">
        <is>
          <t>SY-001</t>
        </is>
      </c>
      <c r="B2" s="57" t="inlineStr">
        <is>
          <t>Team</t>
        </is>
      </c>
      <c r="C2" s="57" t="inlineStr">
        <is>
          <t>Staff management + permissions</t>
        </is>
      </c>
      <c r="D2" s="57" t="inlineStr">
        <is>
          <t>Admin logged in</t>
        </is>
      </c>
      <c r="E2" s="57" t="inlineStr">
        <is>
          <t>Admin</t>
        </is>
      </c>
      <c r="F2" s="57" t="inlineStr">
        <is>
          <t>1. Create a staff account. 2. Restrict permissions.</t>
        </is>
      </c>
      <c r="G2" s="57" t="inlineStr">
        <is>
          <t>Staff created, access restricted by permissions (areas).</t>
        </is>
      </c>
      <c r="H2" s="59" t="inlineStr">
        <is>
          <t>To test</t>
        </is>
      </c>
      <c r="I2" s="57" t="inlineStr">
        <is>
          <t>High</t>
        </is>
      </c>
      <c r="J2" s="57" t="inlineStr">
        <is>
          <t>Major</t>
        </is>
      </c>
      <c r="K2" s="57" t="n"/>
      <c r="L2" s="57" t="n"/>
    </row>
    <row r="3" ht="23.85" customHeight="1" s="32">
      <c r="A3" s="57" t="inlineStr">
        <is>
          <t>SY-002</t>
        </is>
      </c>
      <c r="B3" s="57" t="inlineStr">
        <is>
          <t>Team</t>
        </is>
      </c>
      <c r="C3" s="57" t="inlineStr">
        <is>
          <t>Staff invitation (staff-accept)</t>
        </is>
      </c>
      <c r="D3" s="57" t="inlineStr">
        <is>
          <t>Invitation email</t>
        </is>
      </c>
      <c r="E3" s="57" t="inlineStr">
        <is>
          <t>Staff</t>
        </is>
      </c>
      <c r="F3" s="57" t="inlineStr">
        <is>
          <t>1. Open /staff-accept.</t>
        </is>
      </c>
      <c r="G3" s="57" t="inlineStr">
        <is>
          <t>Member accepts and activates.</t>
        </is>
      </c>
      <c r="H3" s="59" t="inlineStr">
        <is>
          <t>To test</t>
        </is>
      </c>
      <c r="I3" s="57" t="inlineStr">
        <is>
          <t>Low</t>
        </is>
      </c>
      <c r="J3" s="57" t="inlineStr">
        <is>
          <t>Minor</t>
        </is>
      </c>
      <c r="K3" s="57" t="n"/>
      <c r="L3" s="57" t="n"/>
    </row>
    <row r="4" ht="23.85" customHeight="1" s="32">
      <c r="A4" s="57" t="inlineStr">
        <is>
          <t>SY-003</t>
        </is>
      </c>
      <c r="B4" s="57" t="inlineStr">
        <is>
          <t>Log</t>
        </is>
      </c>
      <c r="C4" s="57" t="inlineStr">
        <is>
          <t>Activity log (audit)</t>
        </is>
      </c>
      <c r="D4" s="57" t="inlineStr">
        <is>
          <t>Actions performed</t>
        </is>
      </c>
      <c r="E4" s="57" t="inlineStr">
        <is>
          <t>Admin</t>
        </is>
      </c>
      <c r="F4" s="57" t="inlineStr">
        <is>
          <t>1. Open the Log.</t>
        </is>
      </c>
      <c r="G4" s="57" t="inlineStr">
        <is>
          <t>Actions traced (admin, date, detail).</t>
        </is>
      </c>
      <c r="H4" s="59" t="inlineStr">
        <is>
          <t>To test</t>
        </is>
      </c>
      <c r="I4" s="57" t="inlineStr">
        <is>
          <t>Medium</t>
        </is>
      </c>
      <c r="J4" s="57" t="inlineStr">
        <is>
          <t>Minor</t>
        </is>
      </c>
      <c r="K4" s="57" t="n"/>
      <c r="L4" s="57" t="n"/>
    </row>
    <row r="5" ht="23.85" customHeight="1" s="32">
      <c r="A5" s="57" t="inlineStr">
        <is>
          <t>SY-004</t>
        </is>
      </c>
      <c r="B5" s="57" t="inlineStr">
        <is>
          <t>SEO</t>
        </is>
      </c>
      <c r="C5" s="57" t="inlineStr">
        <is>
          <t>SEO editing</t>
        </is>
      </c>
      <c r="D5" s="57" t="inlineStr">
        <is>
          <t>Admin logged in</t>
        </is>
      </c>
      <c r="E5" s="57" t="inlineStr">
        <is>
          <t>Admin</t>
        </is>
      </c>
      <c r="F5" s="57" t="inlineStr">
        <is>
          <t>1. Edit SEO fields.</t>
        </is>
      </c>
      <c r="G5" s="57" t="inlineStr">
        <is>
          <t>Save and readback correct.</t>
        </is>
      </c>
      <c r="H5" s="59" t="inlineStr">
        <is>
          <t>To test</t>
        </is>
      </c>
      <c r="I5" s="57" t="inlineStr">
        <is>
          <t>Low</t>
        </is>
      </c>
      <c r="J5" s="57" t="inlineStr">
        <is>
          <t>Minor</t>
        </is>
      </c>
      <c r="K5" s="57" t="n"/>
      <c r="L5" s="57" t="n"/>
    </row>
    <row r="6" ht="23.85" customHeight="1" s="32">
      <c r="A6" s="57" t="inlineStr">
        <is>
          <t>SY-005</t>
        </is>
      </c>
      <c r="B6" s="57" t="inlineStr">
        <is>
          <t>Emails</t>
        </is>
      </c>
      <c r="C6" s="57" t="inlineStr">
        <is>
          <t>Email catalog / templates</t>
        </is>
      </c>
      <c r="D6" s="57" t="inlineStr">
        <is>
          <t>Admin logged in</t>
        </is>
      </c>
      <c r="E6" s="57" t="inlineStr">
        <is>
          <t>Admin</t>
        </is>
      </c>
      <c r="F6" s="57" t="inlineStr">
        <is>
          <t>1. Browse templates.</t>
        </is>
      </c>
      <c r="G6" s="57" t="inlineStr">
        <is>
          <t>Templates listed and editable.</t>
        </is>
      </c>
      <c r="H6" s="59" t="inlineStr">
        <is>
          <t>To test</t>
        </is>
      </c>
      <c r="I6" s="57" t="inlineStr">
        <is>
          <t>Low</t>
        </is>
      </c>
      <c r="J6" s="57" t="inlineStr">
        <is>
          <t>Minor</t>
        </is>
      </c>
      <c r="K6" s="57" t="n"/>
      <c r="L6" s="57" t="n"/>
    </row>
    <row r="7" ht="23.85" customHeight="1" s="32">
      <c r="A7" s="57" t="inlineStr">
        <is>
          <t>SY-006</t>
        </is>
      </c>
      <c r="B7" s="57" t="inlineStr">
        <is>
          <t>Outbox</t>
        </is>
      </c>
      <c r="C7" s="57" t="inlineStr">
        <is>
          <t>Email outbox</t>
        </is>
      </c>
      <c r="D7" s="57" t="inlineStr">
        <is>
          <t>Emails queued</t>
        </is>
      </c>
      <c r="E7" s="57" t="inlineStr">
        <is>
          <t>Admin</t>
        </is>
      </c>
      <c r="F7" s="57" t="inlineStr">
        <is>
          <t>1. Open the Outbox.</t>
        </is>
      </c>
      <c r="G7" s="57" t="inlineStr">
        <is>
          <t>Per-status stats, oldest age, janitor config exposed.</t>
        </is>
      </c>
      <c r="H7" s="59" t="inlineStr">
        <is>
          <t>To test</t>
        </is>
      </c>
      <c r="I7" s="57" t="inlineStr">
        <is>
          <t>Medium</t>
        </is>
      </c>
      <c r="J7" s="57" t="inlineStr">
        <is>
          <t>Minor</t>
        </is>
      </c>
      <c r="K7" s="57" t="n"/>
      <c r="L7" s="57" t="n"/>
    </row>
    <row r="8" ht="23.85" customHeight="1" s="32">
      <c r="A8" s="57" t="inlineStr">
        <is>
          <t>SY-007</t>
        </is>
      </c>
      <c r="B8" s="57" t="inlineStr">
        <is>
          <t>Outbox</t>
        </is>
      </c>
      <c r="C8" s="57" t="inlineStr">
        <is>
          <t>Manual requeue</t>
        </is>
      </c>
      <c r="D8" s="57" t="inlineStr">
        <is>
          <t>Failed/stuck emails</t>
        </is>
      </c>
      <c r="E8" s="57" t="inlineStr">
        <is>
          <t>Admin</t>
        </is>
      </c>
      <c r="F8" s="57" t="inlineStr">
        <is>
          <t>1. 'Requeue' (scope).</t>
        </is>
      </c>
      <c r="G8" s="57" t="inlineStr">
        <is>
          <t>Emails retried (requeued_by: admin).</t>
        </is>
      </c>
      <c r="H8" s="59" t="inlineStr">
        <is>
          <t>To test</t>
        </is>
      </c>
      <c r="I8" s="57" t="inlineStr">
        <is>
          <t>Low</t>
        </is>
      </c>
      <c r="J8" s="57" t="inlineStr">
        <is>
          <t>Minor</t>
        </is>
      </c>
      <c r="K8" s="57" t="n"/>
      <c r="L8" s="57" t="n"/>
    </row>
    <row r="9" ht="23.85" customHeight="1" s="32">
      <c r="A9" s="57" t="inlineStr">
        <is>
          <t>SY-008</t>
        </is>
      </c>
      <c r="B9" s="57" t="inlineStr">
        <is>
          <t>Trash</t>
        </is>
      </c>
      <c r="C9" s="57" t="inlineStr">
        <is>
          <t>Trash management</t>
        </is>
      </c>
      <c r="D9" s="57" t="inlineStr">
        <is>
          <t>Deleted items</t>
        </is>
      </c>
      <c r="E9" s="57" t="inlineStr">
        <is>
          <t>Admin</t>
        </is>
      </c>
      <c r="F9" s="57" t="inlineStr">
        <is>
          <t>1. Open Trash. 2. Restore/delete.</t>
        </is>
      </c>
      <c r="G9" s="57" t="inlineStr">
        <is>
          <t>Restore and purge work.</t>
        </is>
      </c>
      <c r="H9" s="59" t="inlineStr">
        <is>
          <t>To test</t>
        </is>
      </c>
      <c r="I9" s="57" t="inlineStr">
        <is>
          <t>Low</t>
        </is>
      </c>
      <c r="J9" s="57" t="inlineStr">
        <is>
          <t>Minor</t>
        </is>
      </c>
      <c r="K9" s="57" t="n"/>
      <c r="L9" s="57" t="n"/>
    </row>
    <row r="10" ht="23.85" customHeight="1" s="32">
      <c r="A10" s="57" t="inlineStr">
        <is>
          <t>SY-009</t>
        </is>
      </c>
      <c r="B10" s="57" t="inlineStr">
        <is>
          <t>Tickets</t>
        </is>
      </c>
      <c r="C10" s="57" t="inlineStr">
        <is>
          <t>Customer &amp; affiliate tickets</t>
        </is>
      </c>
      <c r="D10" s="57" t="inlineStr">
        <is>
          <t>Existing tickets</t>
        </is>
      </c>
      <c r="E10" s="57" t="inlineStr">
        <is>
          <t>Admin</t>
        </is>
      </c>
      <c r="F10" s="57" t="inlineStr">
        <is>
          <t>1. Open tickets.</t>
        </is>
      </c>
      <c r="G10" s="57" t="inlineStr">
        <is>
          <t>Display and reply work.</t>
        </is>
      </c>
      <c r="H10" s="59" t="inlineStr">
        <is>
          <t>To test</t>
        </is>
      </c>
      <c r="I10" s="57" t="inlineStr">
        <is>
          <t>Low</t>
        </is>
      </c>
      <c r="J10" s="57" t="inlineStr">
        <is>
          <t>Minor</t>
        </is>
      </c>
      <c r="K10" s="57" t="n"/>
      <c r="L10" s="57" t="n"/>
    </row>
    <row r="11" ht="23.85" customHeight="1" s="32">
      <c r="A11" s="57" t="inlineStr">
        <is>
          <t>SY-010</t>
        </is>
      </c>
      <c r="B11" s="57" t="inlineStr">
        <is>
          <t>Subscribers</t>
        </is>
      </c>
      <c r="C11" s="57" t="inlineStr">
        <is>
          <t>Newsletter subscribers list</t>
        </is>
      </c>
      <c r="D11" s="57" t="inlineStr">
        <is>
          <t>Existing subscribers</t>
        </is>
      </c>
      <c r="E11" s="57" t="inlineStr">
        <is>
          <t>Admin</t>
        </is>
      </c>
      <c r="F11" s="57" t="inlineStr">
        <is>
          <t>1. Open Subscribers.</t>
        </is>
      </c>
      <c r="G11" s="57" t="inlineStr">
        <is>
          <t>Subscriber list displayed.</t>
        </is>
      </c>
      <c r="H11" s="59" t="inlineStr">
        <is>
          <t>To test</t>
        </is>
      </c>
      <c r="I11" s="57" t="inlineStr">
        <is>
          <t>Low</t>
        </is>
      </c>
      <c r="J11" s="57" t="inlineStr">
        <is>
          <t>Minor</t>
        </is>
      </c>
      <c r="K11" s="57" t="n"/>
      <c r="L11" s="57" t="n"/>
    </row>
  </sheetData>
  <autoFilter ref="A1:L11"/>
  <dataValidations count="1">
    <dataValidation sqref="H2:H61"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tabColor rgb="FF3E5C76"/>
    <outlinePr summaryBelow="1" summaryRight="1"/>
    <pageSetUpPr fitToPage="0"/>
  </sheetPr>
  <dimension ref="A1:L1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1" min="1" max="2"/>
    <col width="22" customWidth="1" style="31" min="3" max="3"/>
    <col width="14" customWidth="1" style="31" min="4" max="4"/>
    <col width="12" customWidth="1" style="31" min="5" max="5"/>
    <col width="29" customWidth="1" style="31" min="6" max="6"/>
    <col width="39" customWidth="1" style="31" min="7" max="7"/>
    <col width="10" customWidth="1" style="31" min="8" max="10"/>
    <col width="55" customWidth="1" style="31" min="11" max="12"/>
  </cols>
  <sheetData>
    <row r="1" ht="27.75" customHeight="1" s="32">
      <c r="A1" s="56" t="inlineStr">
        <is>
          <t>ID</t>
        </is>
      </c>
      <c r="B1" s="56" t="inlineStr">
        <is>
          <t>Module</t>
        </is>
      </c>
      <c r="C1" s="56" t="inlineStr">
        <is>
          <t>Test case / Scenario</t>
        </is>
      </c>
      <c r="D1" s="56" t="inlineStr">
        <is>
          <t>Preconditions / Data</t>
        </is>
      </c>
      <c r="E1" s="56" t="inlineStr">
        <is>
          <t>Account required</t>
        </is>
      </c>
      <c r="F1" s="56" t="inlineStr">
        <is>
          <t>Steps</t>
        </is>
      </c>
      <c r="G1" s="56" t="inlineStr">
        <is>
          <t>Expected result</t>
        </is>
      </c>
      <c r="H1" s="56" t="inlineStr">
        <is>
          <t>Status</t>
        </is>
      </c>
      <c r="I1" s="56" t="inlineStr">
        <is>
          <t>Priority</t>
        </is>
      </c>
      <c r="J1" s="56" t="inlineStr">
        <is>
          <t>Severity</t>
        </is>
      </c>
      <c r="K1" s="56" t="inlineStr">
        <is>
          <t>Actual result</t>
        </is>
      </c>
      <c r="L1" s="56" t="inlineStr">
        <is>
          <t>Comments</t>
        </is>
      </c>
    </row>
    <row r="2" ht="46.25" customHeight="1" s="32">
      <c r="A2" s="57" t="inlineStr">
        <is>
          <t>NF-001</t>
        </is>
      </c>
      <c r="B2" s="57" t="inlineStr">
        <is>
          <t>Responsive</t>
        </is>
      </c>
      <c r="C2" s="57" t="inlineStr">
        <is>
          <t>Mobile layout (360–768 px)</t>
        </is>
      </c>
      <c r="D2" s="57" t="inlineStr">
        <is>
          <t>Site loaded</t>
        </is>
      </c>
      <c r="E2" s="57" t="inlineStr">
        <is>
          <t>—</t>
        </is>
      </c>
      <c r="F2" s="57" t="inlineStr">
        <is>
          <t>1. Resize to mobile. 2. Test menu, cart, checkout.</t>
        </is>
      </c>
      <c r="G2" s="57" t="inlineStr">
        <is>
          <t>Adaptive layout, mobile menu, usable checkout, collapsible admin menu.</t>
        </is>
      </c>
      <c r="H2" s="60" t="inlineStr">
        <is>
          <t>Fail</t>
        </is>
      </c>
      <c r="I2" s="57" t="inlineStr">
        <is>
          <t>High</t>
        </is>
      </c>
      <c r="J2" s="57" t="inlineStr">
        <is>
          <t>Major</t>
        </is>
      </c>
      <c r="K2" s="59" t="inlineStr">
        <is>
          <t>Aucun défilement horizontal à 360px sur l'accueil, mais /catalog à 360px déborde (scrollWidth 408 &gt; 350) : le libellé 'PRÉCOMMANDE' d'une carte dépasse.</t>
        </is>
      </c>
      <c r="L2" s="59" t="inlineStr">
        <is>
          <t>Menu burger OK sur mobile. Checkout mobile à vérifier sur un vrai téléphone (la fenêtre du navigateur ne peut pas être redimensionnée ici, tests via iframe). [Claude (Cowork) — 27/09/2026]</t>
        </is>
      </c>
    </row>
    <row r="3" ht="23.85" customHeight="1" s="32">
      <c r="A3" s="57" t="inlineStr">
        <is>
          <t>NF-002</t>
        </is>
      </c>
      <c r="B3" s="57" t="inlineStr">
        <is>
          <t>Responsive</t>
        </is>
      </c>
      <c r="C3" s="57" t="inlineStr">
        <is>
          <t>Tablet &amp; desktop</t>
        </is>
      </c>
      <c r="D3" s="57" t="inlineStr">
        <is>
          <t>Site loaded</t>
        </is>
      </c>
      <c r="E3" s="57" t="inlineStr">
        <is>
          <t>—</t>
        </is>
      </c>
      <c r="F3" s="57" t="inlineStr">
        <is>
          <t>1. Test on tablet and wide desktop.</t>
        </is>
      </c>
      <c r="G3" s="57" t="inlineStr">
        <is>
          <t>Correct layout at all widths.</t>
        </is>
      </c>
      <c r="H3" s="58" t="inlineStr">
        <is>
          <t>Pass</t>
        </is>
      </c>
      <c r="I3" s="57" t="inlineStr">
        <is>
          <t>Medium</t>
        </is>
      </c>
      <c r="J3" s="57" t="inlineStr">
        <is>
          <t>Minor</t>
        </is>
      </c>
      <c r="K3" s="59" t="inlineStr">
        <is>
          <t>768, 1280 et 1600px : pas de débordement, header complet, grilles 3/4/4 colonnes.</t>
        </is>
      </c>
      <c r="L3" s="59" t="inlineStr">
        <is>
          <t>[Claude (Cowork) — 27/09/2026]</t>
        </is>
      </c>
    </row>
    <row r="4" ht="23.85" customHeight="1" s="32">
      <c r="A4" s="57" t="inlineStr">
        <is>
          <t>NF-003</t>
        </is>
      </c>
      <c r="B4" s="57" t="inlineStr">
        <is>
          <t>Browsers</t>
        </is>
      </c>
      <c r="C4" s="57" t="inlineStr">
        <is>
          <t>Cross-browser compatibility</t>
        </is>
      </c>
      <c r="D4" s="57" t="inlineStr">
        <is>
          <t>Site loaded</t>
        </is>
      </c>
      <c r="E4" s="57" t="inlineStr">
        <is>
          <t>—</t>
        </is>
      </c>
      <c r="F4" s="57" t="inlineStr">
        <is>
          <t>1. Test Chrome, Firefox, Safari, Edge.</t>
        </is>
      </c>
      <c r="G4" s="57" t="inlineStr">
        <is>
          <t>Identical behavior, no major regression.</t>
        </is>
      </c>
      <c r="H4" s="59" t="inlineStr">
        <is>
          <t>To test</t>
        </is>
      </c>
      <c r="I4" s="57" t="inlineStr">
        <is>
          <t>High</t>
        </is>
      </c>
      <c r="J4" s="57" t="inlineStr">
        <is>
          <t>Major</t>
        </is>
      </c>
      <c r="K4" s="57" t="n"/>
      <c r="L4" s="57" t="n"/>
    </row>
    <row r="5" ht="46.25" customHeight="1" s="32">
      <c r="A5" s="57" t="inlineStr">
        <is>
          <t>NF-004</t>
        </is>
      </c>
      <c r="B5" s="57" t="inlineStr">
        <is>
          <t>Performance</t>
        </is>
      </c>
      <c r="C5" s="57" t="inlineStr">
        <is>
          <t>Load time</t>
        </is>
      </c>
      <c r="D5" s="57" t="inlineStr">
        <is>
          <t>Site loaded</t>
        </is>
      </c>
      <c r="E5" s="57" t="inlineStr">
        <is>
          <t>—</t>
        </is>
      </c>
      <c r="F5" s="57" t="inlineStr">
        <is>
          <t>1. Measure key page load times.</t>
        </is>
      </c>
      <c r="G5" s="57" t="inlineStr">
        <is>
          <t>Reasonable response, lazy-loaded admin (separate chunk).</t>
        </is>
      </c>
      <c r="H5" s="60" t="inlineStr">
        <is>
          <t>Fail</t>
        </is>
      </c>
      <c r="I5" s="57" t="inlineStr">
        <is>
          <t>Medium</t>
        </is>
      </c>
      <c r="J5" s="57" t="inlineStr">
        <is>
          <t>Minor</t>
        </is>
      </c>
      <c r="K5" s="59" t="inlineStr">
        <is>
          <t>TTFB 140 ms, DOMContentLoaded 0,8 s, load 2,1 s, LCP 2,2 s (bureau). Les images produit PNG pèsent 2,6 à 2,8 Mo CHACUNE.</t>
        </is>
      </c>
      <c r="L5" s="59" t="inlineStr">
        <is>
          <t>Convertir en WebP/AVIF ~100-200 Ko. Le preview sert un build de développement (bundle.js 2,8 Mo non découpé) : chunk admin séparé impossible à vérifier ici. [Claude (Cowork) — 27/09/2026]</t>
        </is>
      </c>
    </row>
    <row r="6" ht="35.05" customHeight="1" s="32">
      <c r="A6" s="57" t="inlineStr">
        <is>
          <t>NF-005</t>
        </is>
      </c>
      <c r="B6" s="57" t="inlineStr">
        <is>
          <t>Security</t>
        </is>
      </c>
      <c r="C6" s="57" t="inlineStr">
        <is>
          <t>CSP / cookies / CORS</t>
        </is>
      </c>
      <c r="D6" s="57" t="inlineStr">
        <is>
          <t>Production configured</t>
        </is>
      </c>
      <c r="E6" s="57" t="inlineStr">
        <is>
          <t>—</t>
        </is>
      </c>
      <c r="F6" s="57" t="inlineStr">
        <is>
          <t>1. Check security headers + httpOnly cookie.</t>
        </is>
      </c>
      <c r="G6" s="57" t="inlineStr">
        <is>
          <t>CSP active, Secure/SameSite cookies, restricted CORS.</t>
        </is>
      </c>
      <c r="H6" s="60" t="inlineStr">
        <is>
          <t>Fail</t>
        </is>
      </c>
      <c r="I6" s="57" t="inlineStr">
        <is>
          <t>High</t>
        </is>
      </c>
      <c r="J6" s="57" t="inlineStr">
        <is>
          <t>Blocker</t>
        </is>
      </c>
      <c r="K6" s="59" t="inlineStr">
        <is>
          <t>API : CSP stricte, X-Frame-Options DENY, nosniff, HSTS, Referrer-Policy OK. Mais Access-Control-Allow-Origin: * sur l'API et aucune CSP sur les pages HTML.</t>
        </is>
      </c>
      <c r="L6" s="59" t="inlineStr">
        <is>
          <t>CORS * peut venir de l'environnement preview : à revérifier en production. Cookies httpOnly à vérifier une fois connecté. [Claude (Cowork) — 27/09/2026]</t>
        </is>
      </c>
    </row>
    <row r="7" ht="35.05" customHeight="1" s="32">
      <c r="A7" s="57" t="inlineStr">
        <is>
          <t>NF-006</t>
        </is>
      </c>
      <c r="B7" s="57" t="inlineStr">
        <is>
          <t>Security</t>
        </is>
      </c>
      <c r="C7" s="57" t="inlineStr">
        <is>
          <t>No secret exposed to client</t>
        </is>
      </c>
      <c r="D7" s="57" t="inlineStr">
        <is>
          <t>Site loaded</t>
        </is>
      </c>
      <c r="E7" s="57" t="inlineStr">
        <is>
          <t>—</t>
        </is>
      </c>
      <c r="F7" s="57" t="inlineStr">
        <is>
          <t>1. Inspect network/console.</t>
        </is>
      </c>
      <c r="G7" s="57" t="inlineStr">
        <is>
          <t>No token/key (NOWPayments, Resend, admin) exposed to the browser.</t>
        </is>
      </c>
      <c r="H7" s="58" t="inlineStr">
        <is>
          <t>Pass</t>
        </is>
      </c>
      <c r="I7" s="57" t="inlineStr">
        <is>
          <t>High</t>
        </is>
      </c>
      <c r="J7" s="57" t="inlineStr">
        <is>
          <t>Blocker</t>
        </is>
      </c>
      <c r="K7" s="59" t="inlineStr">
        <is>
          <t>Aucune clé (NOWPayments, Resend, sk_…) trouvée dans le bundle JS ni dans la console.</t>
        </is>
      </c>
      <c r="L7" s="59" t="inlineStr">
        <is>
          <t>Le chemin secret /ops-portal-fn7k2q apparaît 3 fois dans le bundle ET dans l'URL publique /login?next=/ops-portal-fn7k2q (voir SP-014). [Claude (Cowork) — 27/09/2026]</t>
        </is>
      </c>
    </row>
    <row r="8" ht="46.25" customHeight="1" s="32">
      <c r="A8" s="57" t="inlineStr">
        <is>
          <t>NF-007</t>
        </is>
      </c>
      <c r="B8" s="57" t="inlineStr">
        <is>
          <t>Accessibility</t>
        </is>
      </c>
      <c r="C8" s="57" t="inlineStr">
        <is>
          <t>Keyboard navigation + ARIA labels</t>
        </is>
      </c>
      <c r="D8" s="57" t="inlineStr">
        <is>
          <t>Site loaded</t>
        </is>
      </c>
      <c r="E8" s="57" t="inlineStr">
        <is>
          <t>—</t>
        </is>
      </c>
      <c r="F8" s="57" t="inlineStr">
        <is>
          <t>1. Browse with keyboard.</t>
        </is>
      </c>
      <c r="G8" s="57" t="inlineStr">
        <is>
          <t>Visible focus, labels/aria on key components.</t>
        </is>
      </c>
      <c r="H8" s="60" t="inlineStr">
        <is>
          <t>Fail</t>
        </is>
      </c>
      <c r="I8" s="57" t="inlineStr">
        <is>
          <t>Low</t>
        </is>
      </c>
      <c r="J8" s="57" t="inlineStr">
        <is>
          <t>Minor</t>
        </is>
      </c>
      <c r="K8" s="59" t="inlineStr">
        <is>
          <t>Les boutons +/− de quantité (fiche + panier) et tous les champs du checkout n'ont pas de nom accessible (pas de &lt;label&gt; lié ni d'aria-label). Le focus clavier est piégé nulle part : il traverse l'AgeGate et l'écran de refus.</t>
        </is>
      </c>
      <c r="L8" s="59" t="inlineStr">
        <is>
          <t>Test de focus visible non concluant via l'outil (la touche Tab de l'automate ne déplace pas le focus sur cette page). [Claude (Cowork) — 27/09/2026]</t>
        </is>
      </c>
    </row>
    <row r="9" ht="35.05" customHeight="1" s="32">
      <c r="A9" s="57" t="inlineStr">
        <is>
          <t>NF-008</t>
        </is>
      </c>
      <c r="B9" s="57" t="inlineStr">
        <is>
          <t>SEO</t>
        </is>
      </c>
      <c r="C9" s="57" t="inlineStr">
        <is>
          <t>robots.txt / sitemap (admin excluded)</t>
        </is>
      </c>
      <c r="D9" s="57" t="inlineStr">
        <is>
          <t>Production configured</t>
        </is>
      </c>
      <c r="E9" s="57" t="inlineStr">
        <is>
          <t>—</t>
        </is>
      </c>
      <c r="F9" s="57" t="inlineStr">
        <is>
          <t>1. Check robots.txt and sitemap.</t>
        </is>
      </c>
      <c r="G9" s="57" t="inlineStr">
        <is>
          <t>Secret admin path neither indexed nor present.</t>
        </is>
      </c>
      <c r="H9" s="58" t="inlineStr">
        <is>
          <t>Pass</t>
        </is>
      </c>
      <c r="I9" s="57" t="inlineStr">
        <is>
          <t>Medium</t>
        </is>
      </c>
      <c r="J9" s="57" t="inlineStr">
        <is>
          <t>Minor</t>
        </is>
      </c>
      <c r="K9" s="59" t="inlineStr">
        <is>
          <t>robots.txt n'expose pas le chemin admin. Sitemap : 6 URL, pas d'admin.</t>
        </is>
      </c>
      <c r="L9" s="59" t="inlineStr">
        <is>
          <t>Le sitemap ne contient AUCUNE fiche produit (/product/...) : mauvais pour le SEO. robots.txt ne liste pas /affiliate ni /forgot-password. [Claude (Cowork) — 27/09/2026]</t>
        </is>
      </c>
    </row>
    <row r="10" ht="23.85" customHeight="1" s="32">
      <c r="A10" s="57" t="inlineStr">
        <is>
          <t>NF-009</t>
        </is>
      </c>
      <c r="B10" s="57" t="inlineStr">
        <is>
          <t>Resilience</t>
        </is>
      </c>
      <c r="C10" s="57" t="inlineStr">
        <is>
          <t>Network / API down</t>
        </is>
      </c>
      <c r="D10" s="57" t="inlineStr">
        <is>
          <t>Site loaded</t>
        </is>
      </c>
      <c r="E10" s="57" t="inlineStr">
        <is>
          <t>—</t>
        </is>
      </c>
      <c r="F10" s="57" t="inlineStr">
        <is>
          <t>1. Cut the API. 2. Observe.</t>
        </is>
      </c>
      <c r="G10" s="57" t="inlineStr">
        <is>
          <t>Clean error (ErrorBoundary), no white screen.</t>
        </is>
      </c>
      <c r="H10" s="61" t="inlineStr">
        <is>
          <t>Blocked</t>
        </is>
      </c>
      <c r="I10" s="57" t="inlineStr">
        <is>
          <t>Medium</t>
        </is>
      </c>
      <c r="J10" s="57" t="inlineStr">
        <is>
          <t>Minor</t>
        </is>
      </c>
      <c r="K10" s="59" t="inlineStr">
        <is>
          <t>Impossible de couper l'API depuis le navigateur du testeur.</t>
        </is>
      </c>
      <c r="L10" s="59" t="inlineStr">
        <is>
          <t>À tester en arrêtant le backend du preview. [Claude (Cowork) — 27/09/2026]</t>
        </is>
      </c>
    </row>
    <row r="11" ht="46.25" customHeight="1" s="32">
      <c r="A11" s="57" t="inlineStr">
        <is>
          <t>NF-010</t>
        </is>
      </c>
      <c r="B11" s="57" t="inlineStr">
        <is>
          <t>i18n</t>
        </is>
      </c>
      <c r="C11" s="57" t="inlineStr">
        <is>
          <t>FR/EN consistency (all screens)</t>
        </is>
      </c>
      <c r="D11" s="57" t="inlineStr">
        <is>
          <t>Site loaded</t>
        </is>
      </c>
      <c r="E11" s="57" t="inlineStr">
        <is>
          <t>—</t>
        </is>
      </c>
      <c r="F11" s="57" t="inlineStr">
        <is>
          <t>1. Toggle FR/EN on each page.</t>
        </is>
      </c>
      <c r="G11" s="57" t="inlineStr">
        <is>
          <t>No missing text, language mixing, or untranslated key.</t>
        </is>
      </c>
      <c r="H11" s="60" t="inlineStr">
        <is>
          <t>Fail</t>
        </is>
      </c>
      <c r="I11" s="57" t="inlineStr">
        <is>
          <t>High</t>
        </is>
      </c>
      <c r="J11" s="57" t="inlineStr">
        <is>
          <t>Major</t>
        </is>
      </c>
      <c r="K11" s="59" t="inlineStr">
        <is>
          <t>Aucun texte mélangé dans le corps des 15 routes testées en FR et EN. Mais les titres d'onglet restent en anglais en FR ('Catalog', 'About', 'Compliance', 'Privacy', 'Sign in', 'Register', 'Reset password', 'Affiliate Program Terms').</t>
        </is>
      </c>
      <c r="L11" s="59" t="inlineStr">
        <is>
          <t>Checkout et accueil : titre générique anglais. L'écran de l'AgeGate est seulement en FR quand l'interface est en EN. [Claude (Cowork) — 27/09/2026]</t>
        </is>
      </c>
    </row>
  </sheetData>
  <autoFilter ref="A1:L11"/>
  <dataValidations count="1">
    <dataValidation sqref="H2:H61" showDropDown="0" showInputMessage="0" showErrorMessage="0" allowBlank="1" errorTitle="Invalid status" error="Pick a value from the list." type="list" errorStyle="stop" operator="between">
      <formula1>"Pass,Fail,Blocked,N/A,To test"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2026-09-23T23:54:07Z</dcterms:created>
  <dcterms:modified xmlns:dcterms="http://purl.org/dc/terms/" xmlns:xsi="http://www.w3.org/2001/XMLSchema-instance" xsi:type="dcterms:W3CDTF">2026-09-29T23:49:00Z</dcterms:modified>
  <cp:revision>0</cp:revision>
</cp:coreProperties>
</file>